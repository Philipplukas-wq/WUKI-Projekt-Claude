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eYTEtIChf4qJPfAa+Nddj2CAxhgncFyAEPad65s3L2tn0IG4XeT7W3IKQYbqnhUgx6iwReZBdw2aIIvHiP5MFA==" workbookSaltValue="oSinCAtjcoG6x+JPmHFLhw=="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Vermerk"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 Vermerk'!$A$2:$G$22</definedName>
  </definedNames>
  <calcPr calcId="191029" fullCalcOnLoad="1"/>
</workbook>
</file>

<file path=xl/styles.xml><?xml version="1.0" encoding="utf-8"?>
<styleSheet xmlns="http://schemas.openxmlformats.org/spreadsheetml/2006/main">
  <numFmts count="1">
    <numFmt numFmtId="164" formatCode="#,##0.00\ &quot;€&quot;"/>
  </numFmts>
  <fonts count="27">
    <font>
      <name val="Calibri"/>
      <family val="2"/>
      <color theme="1"/>
      <sz val="11"/>
      <scheme val="minor"/>
    </font>
    <font>
      <name val="Calibri"/>
      <family val="2"/>
      <b val="1"/>
      <color theme="1"/>
      <sz val="11"/>
      <scheme val="minor"/>
    </font>
    <font>
      <name val="BundesSans Office"/>
      <family val="2"/>
      <i val="1"/>
      <color theme="1"/>
      <sz val="9"/>
    </font>
    <font>
      <name val="BundesSans Office"/>
      <family val="2"/>
      <color theme="1"/>
      <sz val="11"/>
    </font>
    <font>
      <name val="BundesSans Office"/>
      <family val="2"/>
      <b val="1"/>
      <color theme="1"/>
      <sz val="11"/>
    </font>
    <font>
      <name val="BundesSans Office"/>
      <family val="2"/>
      <b val="1"/>
      <color theme="1"/>
      <sz val="7"/>
    </font>
    <font>
      <name val="BundesSans Office"/>
      <family val="2"/>
      <color theme="1"/>
      <sz val="7"/>
    </font>
    <font>
      <name val="BundesSans Office"/>
      <family val="2"/>
      <color theme="1"/>
      <sz val="8"/>
    </font>
    <font>
      <name val="BundesSans Office"/>
      <family val="2"/>
      <b val="1"/>
      <color theme="1"/>
      <sz val="9"/>
    </font>
    <font>
      <name val="BundesSans Office"/>
      <family val="2"/>
      <color theme="1"/>
      <sz val="9"/>
    </font>
    <font>
      <name val="BundesSans Office"/>
      <family val="2"/>
      <i val="1"/>
      <color theme="2" tint="-0.249977111117893"/>
      <sz val="8"/>
    </font>
    <font>
      <name val="BundesSans Office"/>
      <family val="2"/>
      <b val="1"/>
      <color theme="1"/>
      <sz val="10"/>
    </font>
    <font>
      <name val="BundesSans Office"/>
      <family val="2"/>
      <b val="1"/>
      <color theme="1"/>
      <sz val="10"/>
      <u val="single"/>
    </font>
    <font>
      <name val="BundesSans Office"/>
      <family val="2"/>
      <sz val="9"/>
    </font>
    <font>
      <name val="BundesSans Office"/>
      <family val="2"/>
      <sz val="9"/>
      <u val="single"/>
    </font>
    <font>
      <name val="BundesSans Office"/>
      <family val="2"/>
      <b val="1"/>
      <color rgb="FFFF0000"/>
      <sz val="9"/>
      <u val="single"/>
    </font>
    <font>
      <name val="BundesSans Office"/>
      <family val="2"/>
      <b val="1"/>
      <i val="1"/>
      <sz val="9"/>
    </font>
    <font>
      <name val="Calibri"/>
      <family val="2"/>
      <color theme="10"/>
      <sz val="11"/>
      <u val="single"/>
      <scheme val="minor"/>
    </font>
    <font>
      <name val="BundesSans Office"/>
      <family val="2"/>
      <color theme="10"/>
      <sz val="9"/>
      <u val="single"/>
    </font>
    <font>
      <name val="BundesSans Office"/>
      <family val="2"/>
      <b val="1"/>
      <color theme="1"/>
      <sz val="9"/>
      <u val="single"/>
    </font>
    <font>
      <name val="BundesSans Office"/>
      <family val="2"/>
      <b val="1"/>
      <i val="1"/>
      <color theme="1"/>
      <sz val="9"/>
    </font>
    <font>
      <name val="BundesSans Office"/>
      <family val="2"/>
      <b val="1"/>
      <i val="1"/>
      <color rgb="FFFF0000"/>
      <sz val="9"/>
    </font>
    <font>
      <name val="Calibri"/>
      <family val="2"/>
      <b val="1"/>
      <color rgb="FFFF0000"/>
      <sz val="11"/>
      <scheme val="minor"/>
    </font>
    <font>
      <b val="1"/>
      <color rgb="001F3864"/>
      <sz val="11"/>
    </font>
    <font>
      <b val="1"/>
      <color rgb="001F3864"/>
      <sz val="12"/>
    </font>
    <font>
      <b val="1"/>
      <color rgb="00FFFFFF"/>
      <sz val="10"/>
    </font>
    <font>
      <i val="1"/>
      <color rgb="00595959"/>
      <sz val="9"/>
    </font>
  </fonts>
  <fills count="9">
    <fill>
      <patternFill/>
    </fill>
    <fill>
      <patternFill patternType="gray125"/>
    </fill>
    <fill>
      <patternFill patternType="solid">
        <fgColor rgb="FFFFFFB7"/>
        <bgColor indexed="64"/>
      </patternFill>
    </fill>
    <fill>
      <patternFill patternType="solid">
        <fgColor theme="3" tint="0.7999816888943144"/>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theme="0" tint="-0.1499984740745262"/>
        <bgColor indexed="64"/>
      </patternFill>
    </fill>
    <fill>
      <patternFill patternType="solid">
        <fgColor rgb="001F3864"/>
        <bgColor rgb="001F3864"/>
      </patternFill>
    </fill>
  </fills>
  <borders count="3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top/>
      <bottom/>
      <diagonal/>
    </border>
    <border>
      <left/>
      <right style="medium">
        <color indexed="64"/>
      </right>
      <top/>
      <bottom/>
      <diagonal/>
    </border>
    <border>
      <left style="medium">
        <color indexed="64"/>
      </left>
      <right/>
      <top/>
      <bottom/>
      <diagonal/>
    </border>
    <border>
      <left/>
      <right style="thin">
        <color auto="1"/>
      </right>
      <top/>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right style="thin"/>
      <top style="thin"/>
      <bottom style="thin"/>
    </border>
  </borders>
  <cellStyleXfs count="2">
    <xf numFmtId="0" fontId="0" fillId="0" borderId="0"/>
    <xf numFmtId="0" fontId="17" fillId="0" borderId="0"/>
  </cellStyleXfs>
  <cellXfs count="106">
    <xf numFmtId="0" fontId="0" fillId="0" borderId="0" pivotButton="0" quotePrefix="0" xfId="0"/>
    <xf numFmtId="0" fontId="1" fillId="0" borderId="0" pivotButton="0" quotePrefix="0" xfId="0"/>
    <xf numFmtId="0" fontId="0" fillId="6" borderId="0" pivotButton="0" quotePrefix="0" xfId="0"/>
    <xf numFmtId="0" fontId="0" fillId="5" borderId="0" pivotButton="0" quotePrefix="0" xfId="0"/>
    <xf numFmtId="0" fontId="3" fillId="5" borderId="0" pivotButton="0" quotePrefix="0" xfId="0"/>
    <xf numFmtId="0" fontId="7" fillId="4" borderId="4" applyAlignment="1" applyProtection="1" pivotButton="0" quotePrefix="0" xfId="0">
      <alignment vertical="center"/>
      <protection locked="0" hidden="0"/>
    </xf>
    <xf numFmtId="0" fontId="7" fillId="4" borderId="2" applyProtection="1" pivotButton="0" quotePrefix="0" xfId="0">
      <protection locked="0" hidden="0"/>
    </xf>
    <xf numFmtId="0" fontId="9" fillId="5" borderId="1" applyAlignment="1" pivotButton="0" quotePrefix="0" xfId="0">
      <alignment horizontal="left" vertical="center" wrapText="1"/>
    </xf>
    <xf numFmtId="0" fontId="9" fillId="7" borderId="1" applyAlignment="1" applyProtection="1" pivotButton="0" quotePrefix="0" xfId="0">
      <alignment horizontal="centerContinuous" vertical="center" wrapText="1"/>
      <protection locked="0" hidden="0"/>
    </xf>
    <xf numFmtId="0" fontId="9" fillId="7" borderId="2" applyAlignment="1" applyProtection="1" pivotButton="0" quotePrefix="0" xfId="0">
      <alignment horizontal="centerContinuous" vertical="center" wrapText="1"/>
      <protection locked="0" hidden="0"/>
    </xf>
    <xf numFmtId="0" fontId="9" fillId="7" borderId="3" applyAlignment="1" applyProtection="1" pivotButton="0" quotePrefix="0" xfId="0">
      <alignment horizontal="centerContinuous" vertical="center" wrapText="1"/>
      <protection locked="0" hidden="0"/>
    </xf>
    <xf numFmtId="0" fontId="9" fillId="5" borderId="5" applyAlignment="1" pivotButton="0" quotePrefix="0" xfId="0">
      <alignment horizontal="left" vertical="center" wrapText="1"/>
    </xf>
    <xf numFmtId="0" fontId="9" fillId="5" borderId="6" applyAlignment="1" pivotButton="0" quotePrefix="0" xfId="0">
      <alignment horizontal="left" vertical="center" wrapText="1"/>
    </xf>
    <xf numFmtId="0" fontId="9" fillId="7" borderId="1" applyAlignment="1" pivotButton="0" quotePrefix="0" xfId="0">
      <alignment horizontal="centerContinuous" vertical="center" wrapText="1"/>
    </xf>
    <xf numFmtId="0" fontId="8" fillId="7" borderId="2" applyAlignment="1" pivotButton="0" quotePrefix="0" xfId="0">
      <alignment horizontal="centerContinuous" vertical="center"/>
    </xf>
    <xf numFmtId="0" fontId="9" fillId="7" borderId="2" applyAlignment="1" pivotButton="0" quotePrefix="0" xfId="0">
      <alignment horizontal="centerContinuous" vertical="center" wrapText="1"/>
    </xf>
    <xf numFmtId="0" fontId="9" fillId="5" borderId="11" applyProtection="1" pivotButton="0" quotePrefix="0" xfId="0">
      <protection locked="0" hidden="0"/>
    </xf>
    <xf numFmtId="0" fontId="9" fillId="5" borderId="16" applyProtection="1" pivotButton="0" quotePrefix="0" xfId="0">
      <protection locked="0" hidden="0"/>
    </xf>
    <xf numFmtId="0" fontId="9" fillId="7" borderId="20" applyAlignment="1" applyProtection="1" pivotButton="0" quotePrefix="0" xfId="0">
      <alignment horizontal="centerContinuous" vertical="center" wrapText="1"/>
      <protection locked="0" hidden="0"/>
    </xf>
    <xf numFmtId="0" fontId="9" fillId="7" borderId="10" applyAlignment="1" applyProtection="1" pivotButton="0" quotePrefix="0" xfId="0">
      <alignment horizontal="centerContinuous" vertical="center" wrapText="1"/>
      <protection locked="0" hidden="0"/>
    </xf>
    <xf numFmtId="0" fontId="9" fillId="5" borderId="14" applyAlignment="1" applyProtection="1" pivotButton="0" quotePrefix="0" xfId="0">
      <alignment horizontal="centerContinuous" vertical="center" wrapText="1"/>
      <protection locked="0" hidden="0"/>
    </xf>
    <xf numFmtId="0" fontId="9" fillId="5" borderId="15" applyAlignment="1" applyProtection="1" pivotButton="0" quotePrefix="0" xfId="0">
      <alignment horizontal="centerContinuous" vertical="center" wrapText="1"/>
      <protection locked="0" hidden="0"/>
    </xf>
    <xf numFmtId="0" fontId="9" fillId="7" borderId="21" applyAlignment="1" applyProtection="1" pivotButton="0" quotePrefix="0" xfId="0">
      <alignment horizontal="centerContinuous" vertical="center" wrapText="1"/>
      <protection locked="0" hidden="0"/>
    </xf>
    <xf numFmtId="0" fontId="9" fillId="5" borderId="0" pivotButton="0" quotePrefix="0" xfId="0"/>
    <xf numFmtId="0" fontId="16" fillId="5" borderId="0" applyAlignment="1" pivotButton="0" quotePrefix="0" xfId="0">
      <alignment horizontal="right" vertical="center" wrapText="1"/>
    </xf>
    <xf numFmtId="0" fontId="9" fillId="5" borderId="0" applyAlignment="1" pivotButton="0" quotePrefix="0" xfId="0">
      <alignment vertical="center"/>
    </xf>
    <xf numFmtId="0" fontId="9" fillId="5" borderId="24" applyProtection="1" pivotButton="0" quotePrefix="0" xfId="0">
      <protection locked="0" hidden="0"/>
    </xf>
    <xf numFmtId="0" fontId="9" fillId="5" borderId="25" applyAlignment="1" pivotButton="0" quotePrefix="0" xfId="0">
      <alignment vertical="center"/>
    </xf>
    <xf numFmtId="0" fontId="18" fillId="5" borderId="0" applyAlignment="1" pivotButton="0" quotePrefix="0" xfId="1">
      <alignment vertical="center"/>
    </xf>
    <xf numFmtId="0" fontId="19" fillId="5" borderId="26" applyAlignment="1" pivotButton="0" quotePrefix="0" xfId="0">
      <alignment horizontal="right" vertical="center"/>
    </xf>
    <xf numFmtId="0" fontId="20" fillId="5" borderId="0" applyAlignment="1" pivotButton="0" quotePrefix="0" xfId="0">
      <alignment horizontal="right" vertical="center" wrapText="1"/>
    </xf>
    <xf numFmtId="0" fontId="9" fillId="5" borderId="18" applyAlignment="1" applyProtection="1" pivotButton="0" quotePrefix="0" xfId="0">
      <alignment horizontal="centerContinuous" vertical="center" wrapText="1"/>
      <protection locked="0" hidden="0"/>
    </xf>
    <xf numFmtId="0" fontId="9" fillId="5" borderId="19" applyAlignment="1" applyProtection="1" pivotButton="0" quotePrefix="0" xfId="0">
      <alignment horizontal="centerContinuous" vertical="center" wrapText="1"/>
      <protection locked="0" hidden="0"/>
    </xf>
    <xf numFmtId="164" fontId="9" fillId="7" borderId="5" applyAlignment="1" applyProtection="1" pivotButton="0" quotePrefix="0" xfId="0">
      <alignment horizontal="right" vertical="center" wrapText="1"/>
      <protection locked="0" hidden="0"/>
    </xf>
    <xf numFmtId="164" fontId="9" fillId="5" borderId="3" applyAlignment="1" pivotButton="0" quotePrefix="0" xfId="0">
      <alignment vertical="center" wrapText="1"/>
    </xf>
    <xf numFmtId="0" fontId="17" fillId="0" borderId="0" pivotButton="0" quotePrefix="0" xfId="1"/>
    <xf numFmtId="0" fontId="22" fillId="0" borderId="0" pivotButton="0" quotePrefix="0" xfId="0"/>
    <xf numFmtId="14" fontId="9" fillId="7" borderId="7" applyAlignment="1" applyProtection="1" pivotButton="0" quotePrefix="0" xfId="0">
      <alignment horizontal="centerContinuous" vertical="center" wrapText="1"/>
      <protection locked="0" hidden="0"/>
    </xf>
    <xf numFmtId="14" fontId="9" fillId="7" borderId="1" applyAlignment="1" applyProtection="1" pivotButton="0" quotePrefix="0" xfId="0">
      <alignment horizontal="centerContinuous" vertical="center" wrapText="1"/>
      <protection locked="0" hidden="0"/>
    </xf>
    <xf numFmtId="14" fontId="10" fillId="5" borderId="8" applyAlignment="1" pivotButton="0" quotePrefix="0" xfId="0">
      <alignment wrapText="1"/>
    </xf>
    <xf numFmtId="14" fontId="10" fillId="5" borderId="9" pivotButton="0" quotePrefix="0" xfId="0"/>
    <xf numFmtId="0" fontId="2" fillId="2" borderId="1" applyAlignment="1" pivotButton="0" quotePrefix="0" xfId="0">
      <alignment horizontal="center" vertical="center" wrapText="1"/>
    </xf>
    <xf numFmtId="0" fontId="2" fillId="2" borderId="2" applyAlignment="1" pivotButton="0" quotePrefix="0" xfId="0">
      <alignment horizontal="center" vertical="center" wrapText="1"/>
    </xf>
    <xf numFmtId="0" fontId="2" fillId="2" borderId="3" applyAlignment="1" pivotButton="0" quotePrefix="0" xfId="0">
      <alignment horizontal="center" vertical="center" wrapText="1"/>
    </xf>
    <xf numFmtId="0" fontId="11" fillId="2" borderId="1" applyAlignment="1" pivotButton="0" quotePrefix="0" xfId="0">
      <alignment horizontal="left" vertical="center" wrapText="1"/>
    </xf>
    <xf numFmtId="0" fontId="11" fillId="2" borderId="2" applyAlignment="1" pivotButton="0" quotePrefix="0" xfId="0">
      <alignment horizontal="left" vertical="center" wrapText="1"/>
    </xf>
    <xf numFmtId="0" fontId="11" fillId="2" borderId="3" applyAlignment="1" pivotButton="0" quotePrefix="0" xfId="0">
      <alignment horizontal="left" vertical="center" wrapText="1"/>
    </xf>
    <xf numFmtId="0" fontId="9" fillId="2" borderId="1" applyAlignment="1" pivotButton="0" quotePrefix="0" xfId="0">
      <alignment horizontal="left" vertical="center" wrapText="1"/>
    </xf>
    <xf numFmtId="0" fontId="2" fillId="2" borderId="2" applyAlignment="1" pivotButton="0" quotePrefix="0" xfId="0">
      <alignment horizontal="left" vertical="center" wrapText="1"/>
    </xf>
    <xf numFmtId="0" fontId="2" fillId="2" borderId="3" applyAlignment="1" pivotButton="0" quotePrefix="0" xfId="0">
      <alignment horizontal="left" vertical="center" wrapText="1"/>
    </xf>
    <xf numFmtId="0" fontId="4" fillId="2" borderId="1" applyAlignment="1" pivotButton="0" quotePrefix="0" xfId="0">
      <alignment horizontal="center" vertical="top" wrapText="1"/>
    </xf>
    <xf numFmtId="0" fontId="4" fillId="2" borderId="2" applyAlignment="1" pivotButton="0" quotePrefix="0" xfId="0">
      <alignment horizontal="center" vertical="top" wrapText="1"/>
    </xf>
    <xf numFmtId="0" fontId="4" fillId="2" borderId="3" applyAlignment="1" pivotButton="0" quotePrefix="0" xfId="0">
      <alignment horizontal="center" vertical="top" wrapText="1"/>
    </xf>
    <xf numFmtId="0" fontId="5" fillId="3" borderId="1" applyAlignment="1" pivotButton="0" quotePrefix="0" xfId="0">
      <alignment horizontal="center" vertical="top" wrapText="1"/>
    </xf>
    <xf numFmtId="0" fontId="5" fillId="3" borderId="3" applyAlignment="1" pivotButton="0" quotePrefix="0" xfId="0">
      <alignment horizontal="center" vertical="top" wrapText="1"/>
    </xf>
    <xf numFmtId="0" fontId="8" fillId="2" borderId="1" applyAlignment="1" pivotButton="0" quotePrefix="0" xfId="0">
      <alignment horizontal="center" vertical="center" wrapText="1"/>
    </xf>
    <xf numFmtId="0" fontId="8" fillId="2" borderId="3" applyAlignment="1" pivotButton="0" quotePrefix="0" xfId="0">
      <alignment horizontal="center" vertical="center" wrapText="1"/>
    </xf>
    <xf numFmtId="0" fontId="8" fillId="2" borderId="2" applyAlignment="1" pivotButton="0" quotePrefix="0" xfId="0">
      <alignment horizontal="center" vertical="center" wrapText="1"/>
    </xf>
    <xf numFmtId="0" fontId="8" fillId="5" borderId="1" applyAlignment="1" pivotButton="0" quotePrefix="0" xfId="0">
      <alignment horizontal="center" vertical="center"/>
    </xf>
    <xf numFmtId="0" fontId="8" fillId="5" borderId="3" applyAlignment="1" pivotButton="0" quotePrefix="0" xfId="0">
      <alignment horizontal="center" vertical="center"/>
    </xf>
    <xf numFmtId="0" fontId="9" fillId="5" borderId="14" applyAlignment="1" pivotButton="0" quotePrefix="0" xfId="0">
      <alignment horizontal="left" vertical="center"/>
    </xf>
    <xf numFmtId="0" fontId="9" fillId="5" borderId="22" applyAlignment="1" pivotButton="0" quotePrefix="0" xfId="0">
      <alignment horizontal="left" vertical="center"/>
    </xf>
    <xf numFmtId="0" fontId="9" fillId="5" borderId="23" applyAlignment="1" pivotButton="0" quotePrefix="0" xfId="0">
      <alignment horizontal="left" vertical="center"/>
    </xf>
    <xf numFmtId="0" fontId="9" fillId="5" borderId="17" applyAlignment="1" pivotButton="0" quotePrefix="0" xfId="0">
      <alignment horizontal="left" vertical="center"/>
    </xf>
    <xf numFmtId="0" fontId="9" fillId="5" borderId="16" applyAlignment="1" pivotButton="0" quotePrefix="0" xfId="0">
      <alignment horizontal="left" vertical="center"/>
    </xf>
    <xf numFmtId="0" fontId="9" fillId="5" borderId="18" applyAlignment="1" pivotButton="0" quotePrefix="0" xfId="0">
      <alignment horizontal="left" vertical="center"/>
    </xf>
    <xf numFmtId="0" fontId="2" fillId="7" borderId="1" applyAlignment="1" pivotButton="0" quotePrefix="0" xfId="0">
      <alignment horizontal="center" vertical="center" wrapText="1"/>
    </xf>
    <xf numFmtId="0" fontId="2" fillId="7" borderId="2" applyAlignment="1" pivotButton="0" quotePrefix="0" xfId="0">
      <alignment horizontal="center" vertical="center" wrapText="1"/>
    </xf>
    <xf numFmtId="0" fontId="2" fillId="7" borderId="3" applyAlignment="1" pivotButton="0" quotePrefix="0" xfId="0">
      <alignment horizontal="center" vertical="center" wrapText="1"/>
    </xf>
    <xf numFmtId="14" fontId="10" fillId="5" borderId="1" applyAlignment="1" pivotButton="0" quotePrefix="0" xfId="0">
      <alignment horizontal="center" wrapText="1"/>
    </xf>
    <xf numFmtId="14" fontId="10" fillId="5" borderId="3" applyAlignment="1" pivotButton="0" quotePrefix="0" xfId="0">
      <alignment horizontal="center" wrapText="1"/>
    </xf>
    <xf numFmtId="0" fontId="9" fillId="5" borderId="0" applyAlignment="1" applyProtection="1" pivotButton="0" quotePrefix="0" xfId="0">
      <alignment horizontal="left" vertical="center" wrapText="1"/>
      <protection locked="0" hidden="0"/>
    </xf>
    <xf numFmtId="0" fontId="9" fillId="5" borderId="25" applyAlignment="1" applyProtection="1" pivotButton="0" quotePrefix="0" xfId="0">
      <alignment horizontal="left" vertical="center" wrapText="1"/>
      <protection locked="0" hidden="0"/>
    </xf>
    <xf numFmtId="0" fontId="9" fillId="2" borderId="1" applyAlignment="1" pivotButton="0" quotePrefix="0" xfId="0">
      <alignment horizontal="right" vertical="center" wrapText="1"/>
    </xf>
    <xf numFmtId="0" fontId="9" fillId="2" borderId="2" applyAlignment="1" pivotButton="0" quotePrefix="0" xfId="0">
      <alignment horizontal="right" vertical="center" wrapText="1"/>
    </xf>
    <xf numFmtId="0" fontId="9" fillId="2" borderId="3" applyAlignment="1" pivotButton="0" quotePrefix="0" xfId="0">
      <alignment horizontal="right" vertical="center" wrapText="1"/>
    </xf>
    <xf numFmtId="0" fontId="9" fillId="5" borderId="12" applyAlignment="1" pivotButton="0" quotePrefix="0" xfId="0">
      <alignment horizontal="left" vertical="center" wrapText="1"/>
    </xf>
    <xf numFmtId="0" fontId="9" fillId="5" borderId="11" applyAlignment="1" pivotButton="0" quotePrefix="0" xfId="0">
      <alignment horizontal="left" vertical="center"/>
    </xf>
    <xf numFmtId="0" fontId="9" fillId="5" borderId="13" applyAlignment="1" pivotButton="0" quotePrefix="0" xfId="0">
      <alignment horizontal="left" vertical="center"/>
    </xf>
    <xf numFmtId="0" fontId="9" fillId="2" borderId="5" applyAlignment="1" pivotButton="0" quotePrefix="0" xfId="0">
      <alignment horizontal="left" vertical="center" wrapText="1"/>
    </xf>
    <xf numFmtId="0" fontId="0" fillId="0" borderId="2" pivotButton="0" quotePrefix="0" xfId="0"/>
    <xf numFmtId="0" fontId="0" fillId="0" borderId="3" pivotButton="0" quotePrefix="0" xfId="0"/>
    <xf numFmtId="0" fontId="2" fillId="2" borderId="5" applyAlignment="1" pivotButton="0" quotePrefix="0" xfId="0">
      <alignment horizontal="center" vertical="center" wrapText="1"/>
    </xf>
    <xf numFmtId="0" fontId="2" fillId="7" borderId="5" applyAlignment="1" pivotButton="0" quotePrefix="0" xfId="0">
      <alignment horizontal="center" vertical="center" wrapText="1"/>
    </xf>
    <xf numFmtId="0" fontId="4" fillId="2" borderId="5" applyAlignment="1" pivotButton="0" quotePrefix="0" xfId="0">
      <alignment horizontal="center" vertical="top" wrapText="1"/>
    </xf>
    <xf numFmtId="0" fontId="5" fillId="3" borderId="5" applyAlignment="1" pivotButton="0" quotePrefix="0" xfId="0">
      <alignment horizontal="center" vertical="top" wrapText="1"/>
    </xf>
    <xf numFmtId="0" fontId="8" fillId="2" borderId="5" applyAlignment="1" pivotButton="0" quotePrefix="0" xfId="0">
      <alignment horizontal="center" vertical="center" wrapText="1"/>
    </xf>
    <xf numFmtId="0" fontId="8" fillId="5" borderId="5" applyAlignment="1" pivotButton="0" quotePrefix="0" xfId="0">
      <alignment horizontal="center" vertical="center"/>
    </xf>
    <xf numFmtId="14" fontId="10" fillId="5" borderId="5" applyAlignment="1" pivotButton="0" quotePrefix="0" xfId="0">
      <alignment horizontal="center" wrapText="1"/>
    </xf>
    <xf numFmtId="0" fontId="23" fillId="5" borderId="11" applyAlignment="1" applyProtection="1" pivotButton="0" quotePrefix="0" xfId="0">
      <alignment horizontal="center" vertical="center"/>
      <protection locked="0" hidden="0"/>
    </xf>
    <xf numFmtId="0" fontId="9" fillId="5" borderId="32" applyAlignment="1" pivotButton="0" quotePrefix="0" xfId="0">
      <alignment horizontal="left" vertical="center"/>
    </xf>
    <xf numFmtId="0" fontId="0" fillId="0" borderId="34" pivotButton="0" quotePrefix="0" xfId="0"/>
    <xf numFmtId="0" fontId="0" fillId="0" borderId="35" pivotButton="0" quotePrefix="0" xfId="0"/>
    <xf numFmtId="0" fontId="0" fillId="0" borderId="31" pivotButton="0" quotePrefix="0" xfId="0"/>
    <xf numFmtId="0" fontId="0" fillId="0" borderId="17" pivotButton="0" quotePrefix="0" xfId="0"/>
    <xf numFmtId="0" fontId="11" fillId="2" borderId="5" applyAlignment="1" pivotButton="0" quotePrefix="0" xfId="0">
      <alignment horizontal="left" vertical="center" wrapText="1"/>
    </xf>
    <xf numFmtId="0" fontId="0" fillId="0" borderId="28" pivotButton="0" quotePrefix="0" xfId="0"/>
    <xf numFmtId="0" fontId="0" fillId="0" borderId="12" pivotButton="0" quotePrefix="0" xfId="0"/>
    <xf numFmtId="0" fontId="23" fillId="5" borderId="16" applyAlignment="1" applyProtection="1" pivotButton="0" quotePrefix="0" xfId="0">
      <alignment horizontal="center" vertical="center"/>
      <protection locked="0" hidden="0"/>
    </xf>
    <xf numFmtId="0" fontId="23" fillId="5" borderId="24" applyAlignment="1" applyProtection="1" pivotButton="0" quotePrefix="0" xfId="0">
      <alignment horizontal="center" vertical="center"/>
      <protection locked="0" hidden="0"/>
    </xf>
    <xf numFmtId="0" fontId="0" fillId="0" borderId="25" applyProtection="1" pivotButton="0" quotePrefix="0" xfId="0">
      <protection locked="0" hidden="0"/>
    </xf>
    <xf numFmtId="0" fontId="9" fillId="2" borderId="5" applyAlignment="1" pivotButton="0" quotePrefix="0" xfId="0">
      <alignment horizontal="right" vertical="center" wrapText="1"/>
    </xf>
    <xf numFmtId="0" fontId="24" fillId="0" borderId="0" pivotButton="0" quotePrefix="0" xfId="0"/>
    <xf numFmtId="0" fontId="25" fillId="8" borderId="36" applyAlignment="1" pivotButton="0" quotePrefix="0" xfId="0">
      <alignment horizontal="center" vertical="center" wrapText="1"/>
    </xf>
    <xf numFmtId="0" fontId="0" fillId="0" borderId="36" applyAlignment="1" pivotButton="0" quotePrefix="0" xfId="0">
      <alignment vertical="top" wrapText="1"/>
    </xf>
    <xf numFmtId="0" fontId="26" fillId="0" borderId="0" applyAlignment="1" pivotButton="0" quotePrefix="0" xfId="0">
      <alignment wrapText="1"/>
    </xf>
  </cellXfs>
  <cellStyles count="2">
    <cellStyle name="Standard" xfId="0" builtinId="0"/>
    <cellStyle name="Link" xfId="1" builtinId="8"/>
  </cellStyles>
  <dxfs count="10">
    <dxf>
      <fill>
        <patternFill>
          <bgColor theme="0" tint="-0.1499679555650502"/>
        </patternFill>
      </fill>
    </dxf>
    <dxf>
      <font>
        <color theme="0"/>
      </font>
      <fill>
        <patternFill>
          <bgColor theme="0"/>
        </patternFill>
      </fill>
    </dxf>
    <dxf>
      <fill>
        <patternFill>
          <bgColor theme="0" tint="-0.1499679555650502"/>
        </patternFill>
      </fill>
    </dxf>
    <dxf>
      <fill>
        <patternFill>
          <bgColor theme="0" tint="-0.249946592608417"/>
        </patternFill>
      </fill>
      <border>
        <left style="thin">
          <color auto="1"/>
        </left>
        <bottom style="thin">
          <color auto="1"/>
        </bottom>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vertical/>
        <horizontal/>
      </border>
    </dxf>
    <dxf>
      <fill>
        <patternFill>
          <bgColor theme="0" tint="-0.249946592608417"/>
        </patternFill>
      </fill>
      <border>
        <left style="thin">
          <color auto="1"/>
        </left>
        <bottom style="thin">
          <color auto="1"/>
        </bottom>
        <vertical/>
        <horizontal/>
      </border>
    </dxf>
    <dxf>
      <fill>
        <patternFill>
          <bgColor theme="0" tint="-0.1499679555650502"/>
        </patternFill>
      </fill>
      <border>
        <vertical/>
        <horizontal/>
      </border>
    </dxf>
    <dxf>
      <fill>
        <patternFill>
          <bgColor theme="0" tint="-0.1499679555650502"/>
        </patternFill>
      </fill>
      <border>
        <vertical/>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2.emf"/><Relationship Id="rId5" Type="http://schemas.openxmlformats.org/officeDocument/2006/relationships/image" Target="../media/image3.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iki.bundeswehr.org/spaces/BAIUDBwFC/pages/1664550295/Glossar" TargetMode="Externa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fitToPage="1"/>
  </sheetPr>
  <dimension ref="A1:S22"/>
  <sheetViews>
    <sheetView tabSelected="1" topLeftCell="A2" zoomScale="110" zoomScaleNormal="110" zoomScaleSheetLayoutView="100" workbookViewId="0">
      <selection activeCell="A4" sqref="A4:E4"/>
    </sheetView>
  </sheetViews>
  <sheetFormatPr baseColWidth="10" defaultColWidth="0" defaultRowHeight="15" zeroHeight="1" outlineLevelRow="1"/>
  <cols>
    <col width="13.7109375" customWidth="1" min="1" max="7"/>
    <col width="1" customWidth="1" min="8" max="8"/>
    <col hidden="1" width="45.7109375" customWidth="1" min="9" max="9"/>
    <col hidden="1" width="11.42578125" customWidth="1" min="10" max="16384"/>
  </cols>
  <sheetData>
    <row r="1" hidden="1" outlineLevel="1" ht="54" customHeight="1" thickBot="1">
      <c r="A1" s="79" t="inlineStr">
        <is>
          <t>Hinweis: Sofern Folgeausgaben (Wartung, Instandsetzung, externe Sachverständige) erforderlich sind und/oder auch eine Dienstleistung als Bedarfsdeckungsoption in Betracht kommt, ist dieses Template nicht für eine angemessene Dokumentation geeignet und eine andere Form der Dokumentation (z.B. ein anderes Template, siehe "WU kompakt") ist zu verwenden.</t>
        </is>
      </c>
      <c r="B1" s="80" t="n"/>
      <c r="C1" s="80" t="n"/>
      <c r="D1" s="80" t="n"/>
      <c r="E1" s="80" t="n"/>
      <c r="F1" s="80" t="n"/>
      <c r="G1" s="81" t="n"/>
      <c r="H1" s="3" t="n"/>
      <c r="I1" s="3" t="n"/>
    </row>
    <row r="2" collapsed="1" ht="14.25" customHeight="1" thickBot="1">
      <c r="A2" s="82" t="inlineStr">
        <is>
          <t>Zum Öffnen der allgemeinen Hinweise bitte links am Rand auf das "+" Symbol klicken</t>
        </is>
      </c>
      <c r="B2" s="80" t="n"/>
      <c r="C2" s="80" t="n"/>
      <c r="D2" s="80" t="n"/>
      <c r="E2" s="80" t="n"/>
      <c r="F2" s="80" t="n"/>
      <c r="G2" s="81" t="n"/>
      <c r="H2" s="4" t="n"/>
      <c r="I2" s="3" t="n"/>
      <c r="S2">
        <f t="array" ref="S2:S22">""</f>
        <v/>
      </c>
    </row>
    <row r="3" ht="29.25" customHeight="1" thickBot="1">
      <c r="A3" s="83" t="inlineStr">
        <is>
          <t>Für die weitere Bearbeitung dieser Vorlage sind bitte alle grau hinterlegten Felder auszufüllen.
Das Einfügen von weiteren Zeilen ist in diesem Template NICHT vorgesehen.</t>
        </is>
      </c>
      <c r="B3" s="80" t="n"/>
      <c r="C3" s="80" t="n"/>
      <c r="D3" s="80" t="n"/>
      <c r="E3" s="80" t="n"/>
      <c r="F3" s="80" t="n"/>
      <c r="G3" s="81" t="n"/>
      <c r="H3" s="4" t="n"/>
      <c r="I3" s="23" t="n"/>
    </row>
    <row r="4" ht="50.1" customHeight="1" thickBot="1">
      <c r="A4" s="84" t="inlineStr">
        <is>
          <t xml:space="preserve">Wirtschaftlichkeitsuntersuchung/Vermerk </t>
        </is>
      </c>
      <c r="B4" s="80" t="n"/>
      <c r="C4" s="80" t="n"/>
      <c r="D4" s="80" t="n"/>
      <c r="E4" s="81" t="n"/>
      <c r="F4" s="85" t="inlineStr">
        <is>
          <t>offen
Version: 15.04.2026</t>
        </is>
      </c>
      <c r="G4" s="81" t="n"/>
      <c r="H4" s="4" t="n"/>
      <c r="I4" s="23" t="n"/>
    </row>
    <row r="5" ht="39.95" customHeight="1" thickBot="1">
      <c r="A5" s="5" t="n"/>
      <c r="B5" s="86" t="inlineStr">
        <is>
          <t>Kauf von Gütern des
Anlagevermögens
(Nichtverbrauchsgüter)</t>
        </is>
      </c>
      <c r="C5" s="81" t="n"/>
      <c r="D5" s="6" t="n"/>
      <c r="E5" s="86" t="inlineStr">
        <is>
          <t>Kauf von Gütern des
Umlaufvermögens
(Einzel- und Mengenverbrauchsgüter)</t>
        </is>
      </c>
      <c r="F5" s="80" t="n"/>
      <c r="G5" s="81" t="n"/>
      <c r="H5" s="4" t="n"/>
      <c r="I5" s="23" t="n"/>
    </row>
    <row r="6" ht="35.25" customHeight="1" thickBot="1">
      <c r="A6" s="7" t="inlineStr">
        <is>
          <t>Dienststelle/
Org Einheit:</t>
        </is>
      </c>
      <c r="B6" s="8" t="inlineStr">
        <is>
          <t>KompZWUBw</t>
        </is>
      </c>
      <c r="C6" s="9" t="n"/>
      <c r="D6" s="10" t="n"/>
      <c r="E6" s="11" t="inlineStr">
        <is>
          <t>Bearbeiter/-in:</t>
        </is>
      </c>
      <c r="F6" s="8" t="inlineStr">
        <is>
          <t>Philipp Lukas</t>
        </is>
      </c>
      <c r="G6" s="10" t="n"/>
      <c r="H6" s="4" t="n"/>
      <c r="I6" s="23" t="n"/>
    </row>
    <row r="7" ht="35.25" customHeight="1" thickBot="1">
      <c r="A7" s="11" t="inlineStr">
        <is>
          <t>Datum der Erstellung:</t>
        </is>
      </c>
      <c r="B7" s="38" t="n">
        <v>46127</v>
      </c>
      <c r="C7" s="12" t="inlineStr">
        <is>
          <t>Beginn der Maßnahme:</t>
        </is>
      </c>
      <c r="D7" s="37" t="n">
        <v>46127</v>
      </c>
      <c r="E7" s="12" t="inlineStr">
        <is>
          <t>Art der 
Maßnahme:</t>
        </is>
      </c>
      <c r="F7" s="87" t="inlineStr">
        <is>
          <t>unterjährig</t>
        </is>
      </c>
      <c r="G7" s="81" t="n"/>
      <c r="H7" s="4" t="n"/>
      <c r="I7" s="24" t="inlineStr">
        <is>
          <t>Hinweise zur Dokumentenkopfzeile</t>
        </is>
      </c>
    </row>
    <row r="8" ht="35.25" customHeight="1" thickBot="1">
      <c r="A8" s="12" t="inlineStr">
        <is>
          <t>Bedarfsforderung:</t>
        </is>
      </c>
      <c r="B8" s="13" t="inlineStr">
        <is>
          <t>Beschaffung von 100 Einweg-Gehörschutzstöpseln aus Schaumstoff (SNR &gt;= 30 dB) zum Schutz des Personals vor schaedigenden Laermeinwirkungen am Arbeitsplatz.</t>
        </is>
      </c>
      <c r="C8" s="14" t="n"/>
      <c r="D8" s="14" t="n"/>
      <c r="E8" s="15" t="n"/>
      <c r="F8" s="39" t="n"/>
      <c r="G8" s="40" t="n"/>
      <c r="H8" s="4" t="n"/>
      <c r="I8" s="24" t="inlineStr">
        <is>
          <t xml:space="preserve">Hinweise zur Bedarfsforderung </t>
        </is>
      </c>
      <c r="N8">
        <f>COLUMN(B8)</f>
        <v/>
      </c>
    </row>
    <row r="9" ht="20.1" customHeight="1" thickBot="1">
      <c r="A9" s="44" t="inlineStr">
        <is>
          <t>Wie wurde der Bedarf bisher gedeckt?</t>
        </is>
      </c>
      <c r="B9" s="80" t="n"/>
      <c r="C9" s="80" t="n"/>
      <c r="D9" s="80" t="n"/>
      <c r="E9" s="80" t="n"/>
      <c r="F9" s="88" t="inlineStr">
        <is>
          <t>Bitte Beschreibungen ergänzen (s. u.).</t>
        </is>
      </c>
      <c r="G9" s="81" t="n"/>
      <c r="H9" s="4" t="n"/>
      <c r="I9" s="23" t="n"/>
    </row>
    <row r="10" ht="18" customHeight="1">
      <c r="A10" s="89" t="inlineStr">
        <is>
          <t>✓</t>
        </is>
      </c>
      <c r="B10" s="90" t="inlineStr">
        <is>
          <t>Kauf der benötigten Güter.</t>
        </is>
      </c>
      <c r="C10" s="91" t="n"/>
      <c r="D10" s="91" t="n"/>
      <c r="E10" s="92" t="n"/>
      <c r="F10" s="20" t="n"/>
      <c r="G10" s="21" t="n"/>
      <c r="H10" s="4" t="n"/>
      <c r="I10" s="23" t="n"/>
      <c r="N10">
        <f>COLUMN(F10)</f>
        <v/>
      </c>
    </row>
    <row r="11" ht="18" customHeight="1">
      <c r="A11" s="17" t="n"/>
      <c r="B11" s="63" t="inlineStr">
        <is>
          <t>Bedarf ist neu entstanden.</t>
        </is>
      </c>
      <c r="C11" s="93" t="n"/>
      <c r="D11" s="93" t="n"/>
      <c r="E11" s="94" t="n"/>
      <c r="F11" s="31" t="n"/>
      <c r="G11" s="32" t="n"/>
      <c r="H11" s="4" t="n"/>
      <c r="I11" s="23" t="n"/>
      <c r="N11">
        <f>COLUMN(F11)</f>
        <v/>
      </c>
    </row>
    <row r="12" ht="18.75" customHeight="1" thickBot="1">
      <c r="A12" s="17" t="n"/>
      <c r="B12" s="63" t="inlineStr">
        <is>
          <t>Sonstiges:</t>
        </is>
      </c>
      <c r="C12" s="93" t="n"/>
      <c r="D12" s="93" t="n"/>
      <c r="E12" s="94" t="n"/>
      <c r="F12" s="18" t="n"/>
      <c r="G12" s="19" t="n"/>
      <c r="H12" s="4" t="n"/>
      <c r="I12" s="23" t="n"/>
      <c r="N12">
        <f>COLUMN(F12)</f>
        <v/>
      </c>
    </row>
    <row r="13" ht="20.1" customHeight="1" thickBot="1">
      <c r="A13" s="95" t="inlineStr">
        <is>
          <t>Der Bedarf kann nicht durch Eigenleistung gedeckt werden, weil</t>
        </is>
      </c>
      <c r="B13" s="80" t="n"/>
      <c r="C13" s="80" t="n"/>
      <c r="D13" s="80" t="n"/>
      <c r="E13" s="80" t="n"/>
      <c r="F13" s="80" t="n"/>
      <c r="G13" s="81" t="n"/>
      <c r="H13" s="4" t="n"/>
      <c r="I13" s="23" t="n"/>
    </row>
    <row r="14" ht="30" customHeight="1">
      <c r="A14" s="16" t="n"/>
      <c r="B14" s="76" t="inlineStr">
        <is>
          <t>der Bedarf ein Verbrauchsgut umfasst, welches innerhalb der Bundeswehr nicht vorhanden ist.</t>
        </is>
      </c>
      <c r="C14" s="96" t="n"/>
      <c r="D14" s="96" t="n"/>
      <c r="E14" s="97" t="n"/>
      <c r="F14" s="20" t="n"/>
      <c r="G14" s="21" t="n"/>
      <c r="H14" s="4" t="n"/>
      <c r="I14" s="30" t="inlineStr">
        <is>
          <t>Hinweis zu nicht in der Bw vorhandenen 
Verbauchsgütern</t>
        </is>
      </c>
      <c r="N14">
        <f>COLUMN(A14)</f>
        <v/>
      </c>
    </row>
    <row r="15" ht="18.75" customHeight="1" thickBot="1">
      <c r="A15" s="98" t="inlineStr">
        <is>
          <t>✓</t>
        </is>
      </c>
      <c r="B15" s="63" t="inlineStr">
        <is>
          <t>Bei Einweg-Ohrstoepseln handelt es sich um Verbrauchsgueter, die am Markt beschafft werden muessen. Eine Eigenherstellung ist technisch nicht moeglich und wirtschaftlich nicht vertretbar.</t>
        </is>
      </c>
      <c r="C15" s="93" t="n"/>
      <c r="D15" s="93" t="n"/>
      <c r="E15" s="94" t="n"/>
      <c r="F15" s="18" t="n"/>
      <c r="G15" s="22" t="n"/>
      <c r="H15" s="4" t="n"/>
      <c r="I15" s="23" t="n"/>
      <c r="N15">
        <f>COLUMN(F15)</f>
        <v/>
      </c>
    </row>
    <row r="16" ht="20.1" customHeight="1" thickBot="1">
      <c r="A16" s="95" t="inlineStr">
        <is>
          <t>Der Bedarf kann nicht durch Miete, Leasing oder Dienstleistung gedeckt werden, weil</t>
        </is>
      </c>
      <c r="B16" s="80" t="n"/>
      <c r="C16" s="80" t="n"/>
      <c r="D16" s="80" t="n"/>
      <c r="E16" s="80" t="n"/>
      <c r="F16" s="80" t="n"/>
      <c r="G16" s="81" t="n"/>
      <c r="H16" s="4" t="n"/>
      <c r="I16" s="23" t="n"/>
    </row>
    <row r="17" ht="18" customHeight="1">
      <c r="A17" s="16" t="n"/>
      <c r="B17" s="76" t="inlineStr">
        <is>
          <t>der Bedarf ein Verbrauchsgut umfasst.</t>
        </is>
      </c>
      <c r="C17" s="96" t="n"/>
      <c r="D17" s="96" t="n"/>
      <c r="E17" s="97" t="n"/>
      <c r="F17" s="20" t="n"/>
      <c r="G17" s="21" t="n"/>
      <c r="H17" s="4" t="n"/>
      <c r="I17" s="23" t="n"/>
      <c r="N17">
        <f>COLUMN(A17)</f>
        <v/>
      </c>
    </row>
    <row r="18" ht="18" customHeight="1">
      <c r="A18" s="17" t="n"/>
      <c r="B18" s="63" t="inlineStr">
        <is>
          <t>hierfür kein Anbieter gefunden werden konnte.</t>
        </is>
      </c>
      <c r="C18" s="93" t="n"/>
      <c r="D18" s="93" t="n"/>
      <c r="E18" s="94" t="n"/>
      <c r="F18" s="31" t="n"/>
      <c r="G18" s="32" t="n"/>
      <c r="H18" s="4" t="n"/>
      <c r="I18" s="23" t="n"/>
      <c r="N18">
        <f>COLUMN(F18)</f>
        <v/>
      </c>
    </row>
    <row r="19" ht="18.75" customHeight="1" thickBot="1">
      <c r="A19" s="98" t="inlineStr">
        <is>
          <t>✓</t>
        </is>
      </c>
      <c r="B19" s="63" t="inlineStr">
        <is>
          <t>Fuer Einweg-Ohrstoepsel besteht am Markt kein Miet- oder Leasingangebot. Es handelt sich um Verbrauchsgueter mit einmaligem Verwendungszweck. Eine Anmietung ist daher nicht moeglich (siehe Anlage Marktrecherche, Nr. 2).</t>
        </is>
      </c>
      <c r="C19" s="93" t="n"/>
      <c r="D19" s="93" t="n"/>
      <c r="E19" s="94" t="n"/>
      <c r="F19" s="18" t="n"/>
      <c r="G19" s="19" t="n"/>
      <c r="H19" s="4" t="n"/>
      <c r="I19" s="23" t="n"/>
      <c r="N19">
        <f>COLUMN(F19)</f>
        <v/>
      </c>
    </row>
    <row r="20" ht="20.1" customHeight="1" thickBot="1">
      <c r="A20" s="95" t="inlineStr">
        <is>
          <t>Der Bedarf ist ausschließlich unterjährig, weil</t>
        </is>
      </c>
      <c r="B20" s="80" t="n"/>
      <c r="C20" s="80" t="n"/>
      <c r="D20" s="80" t="n"/>
      <c r="E20" s="80" t="n"/>
      <c r="F20" s="80" t="n"/>
      <c r="G20" s="81" t="n"/>
      <c r="H20" s="4" t="n"/>
      <c r="I20" s="24" t="inlineStr">
        <is>
          <t>Beispiele für Folgeausgaben</t>
        </is>
      </c>
    </row>
    <row r="21" ht="18.75" customHeight="1" thickBot="1">
      <c r="A21" s="99" t="inlineStr">
        <is>
          <t>✓</t>
        </is>
      </c>
      <c r="B21" s="29" t="inlineStr">
        <is>
          <t>keine</t>
        </is>
      </c>
      <c r="C21" s="28" t="inlineStr">
        <is>
          <t>Folgeausgaben</t>
        </is>
      </c>
      <c r="D21" s="25" t="inlineStr">
        <is>
          <t>anfallen.</t>
        </is>
      </c>
      <c r="E21" s="27" t="n"/>
      <c r="F21" s="72" t="n"/>
      <c r="G21" s="100" t="n"/>
      <c r="H21" s="4" t="n"/>
      <c r="I21" s="23" t="n"/>
    </row>
    <row r="22" ht="30" customHeight="1" thickBot="1">
      <c r="A22" s="101" t="inlineStr">
        <is>
          <t>Nach Ausschluss der Optionen, die nicht bedarfsdeckend sind, verbleibt als einzige Option ein Kauf mit voraussichtlichen Ausgaben in Höhe von insgesamt:</t>
        </is>
      </c>
      <c r="B22" s="80" t="n"/>
      <c r="C22" s="80" t="n"/>
      <c r="D22" s="80" t="n"/>
      <c r="E22" s="81" t="n"/>
      <c r="F22" s="33" t="n">
        <v>9.99</v>
      </c>
      <c r="G22" s="34">
        <f>IF(F22&gt;0,F22*-1,"")</f>
        <v/>
      </c>
      <c r="H22" s="4" t="n"/>
      <c r="I22" s="23" t="n"/>
      <c r="N22">
        <f>COLUMN(F22)</f>
        <v/>
      </c>
    </row>
  </sheetData>
  <mergeCells count="23">
    <mergeCell ref="F4:G4"/>
    <mergeCell ref="A20:G20"/>
    <mergeCell ref="B15:E15"/>
    <mergeCell ref="F7:G7"/>
    <mergeCell ref="F21:G21"/>
    <mergeCell ref="A13:G13"/>
    <mergeCell ref="B18:E18"/>
    <mergeCell ref="A1:G1"/>
    <mergeCell ref="B12:E12"/>
    <mergeCell ref="A16:G16"/>
    <mergeCell ref="B11:E11"/>
    <mergeCell ref="A22:E22"/>
    <mergeCell ref="F9:G9"/>
    <mergeCell ref="B14:E14"/>
    <mergeCell ref="B17:E17"/>
    <mergeCell ref="A4:E4"/>
    <mergeCell ref="E5:G5"/>
    <mergeCell ref="B5:C5"/>
    <mergeCell ref="A3:G3"/>
    <mergeCell ref="A2:G2"/>
    <mergeCell ref="B19:E19"/>
    <mergeCell ref="B10:E10"/>
    <mergeCell ref="A9:E9"/>
  </mergeCells>
  <conditionalFormatting sqref="B6:D6">
    <cfRule type="expression" priority="14" dxfId="8">
      <formula>$B$6&lt;&gt;""</formula>
    </cfRule>
  </conditionalFormatting>
  <conditionalFormatting sqref="F6:G6">
    <cfRule type="expression" priority="12" dxfId="8">
      <formula>$F$6&lt;&gt;""</formula>
    </cfRule>
  </conditionalFormatting>
  <conditionalFormatting sqref="F17">
    <cfRule type="expression" priority="11" dxfId="3">
      <formula>$F$17&lt;&gt;""</formula>
    </cfRule>
  </conditionalFormatting>
  <conditionalFormatting sqref="F18">
    <cfRule type="expression" priority="10" dxfId="4">
      <formula>$F$18&lt;&gt;""</formula>
    </cfRule>
  </conditionalFormatting>
  <conditionalFormatting sqref="F10">
    <cfRule type="expression" priority="7" dxfId="4">
      <formula>$F$17&lt;&gt;""</formula>
    </cfRule>
  </conditionalFormatting>
  <conditionalFormatting sqref="F11">
    <cfRule type="expression" priority="6" dxfId="4">
      <formula>$F$18&lt;&gt;""</formula>
    </cfRule>
  </conditionalFormatting>
  <conditionalFormatting sqref="F14">
    <cfRule type="expression" priority="4" dxfId="3">
      <formula>$F$17&lt;&gt;""</formula>
    </cfRule>
  </conditionalFormatting>
  <conditionalFormatting sqref="B8:E8">
    <cfRule type="expression" priority="3" dxfId="0">
      <formula>$B$8&lt;&gt;""</formula>
    </cfRule>
  </conditionalFormatting>
  <conditionalFormatting sqref="F22">
    <cfRule type="cellIs" priority="2" operator="greaterThan" dxfId="1">
      <formula>0</formula>
    </cfRule>
  </conditionalFormatting>
  <conditionalFormatting sqref="G22">
    <cfRule type="expression" priority="1" dxfId="0">
      <formula>$G$22&lt;0</formula>
    </cfRule>
  </conditionalFormatting>
  <dataValidations count="1">
    <dataValidation sqref="F19" showDropDown="0" showInputMessage="1" showErrorMessage="1" allowBlank="1" type="custom">
      <formula1>IF(K19="WAHR",F19&lt;&gt;"","+G19")</formula1>
    </dataValidation>
  </dataValidations>
  <hyperlinks>
    <hyperlink xmlns:r="http://schemas.openxmlformats.org/officeDocument/2006/relationships" ref="C21" location="Glossar-E" r:id="rId1"/>
  </hyperlinks>
  <pageMargins left="0.7" right="0.7" top="0.787401575" bottom="0.787401575" header="0.3" footer="0.3"/>
  <pageSetup orientation="portrait" paperSize="9" scale="92" horizontalDpi="90" verticalDpi="90"/>
  <colBreaks count="1" manualBreakCount="1">
    <brk id="7" min="0" max="1048575" man="1"/>
  </colBreaks>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B4"/>
  <sheetViews>
    <sheetView workbookViewId="0">
      <selection activeCell="L42" sqref="L42"/>
    </sheetView>
  </sheetViews>
  <sheetFormatPr baseColWidth="10" defaultRowHeight="15"/>
  <sheetData>
    <row r="1">
      <c r="A1" s="36" t="inlineStr">
        <is>
          <t>Anlagen können hier entweder als Datei (via Einfügen --&gt; Objekt) oder als Screenshot einfügen werden.</t>
        </is>
      </c>
    </row>
    <row r="4">
      <c r="B4" s="35" t="n"/>
    </row>
  </sheetData>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2">
    <outlinePr summaryBelow="1" summaryRight="1"/>
    <pageSetUpPr/>
  </sheetPr>
  <dimension ref="A40:A41"/>
  <sheetViews>
    <sheetView topLeftCell="A40" workbookViewId="0">
      <selection activeCell="A41" sqref="A41"/>
    </sheetView>
  </sheetViews>
  <sheetFormatPr baseColWidth="10" defaultColWidth="0" defaultRowHeight="15" zeroHeight="1"/>
  <cols>
    <col width="18" bestFit="1" customWidth="1" min="1" max="1"/>
    <col hidden="1" width="11.42578125" customWidth="1" min="2" max="16384"/>
  </cols>
  <sheetData>
    <row r="40">
      <c r="A40" s="1" t="inlineStr">
        <is>
          <t>Zellsprungfunktion</t>
        </is>
      </c>
    </row>
    <row r="41">
      <c r="A41" s="2" t="inlineStr">
        <is>
          <t>Ein</t>
        </is>
      </c>
    </row>
  </sheetData>
  <dataValidations count="1">
    <dataValidation sqref="A41" showDropDown="0" showInputMessage="1" showErrorMessage="1" allowBlank="1" type="list">
      <formula1>"Ein, Aus"</formula1>
    </dataValidation>
  </dataValidations>
  <pageMargins left="0.7" right="0.7" top="0.787401575" bottom="0.787401575" header="0.3" footer="0.3"/>
</worksheet>
</file>

<file path=xl/worksheets/sheet4.xml><?xml version="1.0" encoding="utf-8"?>
<worksheet xmlns="http://schemas.openxmlformats.org/spreadsheetml/2006/main">
  <sheetPr>
    <outlinePr summaryBelow="1" summaryRight="1"/>
    <pageSetUpPr/>
  </sheetPr>
  <dimension ref="A1:E7"/>
  <sheetViews>
    <sheetView workbookViewId="0">
      <selection activeCell="A1" sqref="A1"/>
    </sheetView>
  </sheetViews>
  <sheetFormatPr baseColWidth="8" defaultRowHeight="15"/>
  <cols>
    <col width="5" customWidth="1" min="1" max="1"/>
    <col width="38" customWidth="1" min="2" max="2"/>
    <col width="16" customWidth="1" min="3" max="3"/>
    <col width="55" customWidth="1" min="4" max="4"/>
    <col width="30" customWidth="1" min="5" max="5"/>
  </cols>
  <sheetData>
    <row r="1" ht="22" customHeight="1">
      <c r="A1" s="102" t="inlineStr">
        <is>
          <t>Anlage: Marktrecherche (Abrufdatum: 15.04.2026)</t>
        </is>
      </c>
    </row>
    <row r="3" ht="25" customHeight="1">
      <c r="A3" s="103" t="inlineStr">
        <is>
          <t>Nr.</t>
        </is>
      </c>
      <c r="B3" s="103" t="inlineStr">
        <is>
          <t>Produkt / Beschreibung</t>
        </is>
      </c>
      <c r="C3" s="103" t="inlineStr">
        <is>
          <t>Preis (brutto)</t>
        </is>
      </c>
      <c r="D3" s="103" t="inlineStr">
        <is>
          <t>Quelle (URL)</t>
        </is>
      </c>
      <c r="E3" s="103" t="inlineStr">
        <is>
          <t>Bemerkung</t>
        </is>
      </c>
    </row>
    <row r="4" ht="55" customHeight="1">
      <c r="A4" s="104" t="inlineStr">
        <is>
          <t>1</t>
        </is>
      </c>
      <c r="B4" s="104" t="inlineStr">
        <is>
          <t>newgen medicals Gehoerschutz-Ohrstoepsel, 100 Stueck, SNR 30 dB, 4 Farben</t>
        </is>
      </c>
      <c r="C4" s="104" t="inlineStr">
        <is>
          <t>ca. 9,99 EUR</t>
        </is>
      </c>
      <c r="D4" s="104" t="inlineStr">
        <is>
          <t>https://www.pearl.de/a-NX5743-3601.shtml</t>
        </is>
      </c>
      <c r="E4" s="104" t="inlineStr">
        <is>
          <t>Kaufpreis, 15.04.2026</t>
        </is>
      </c>
    </row>
    <row r="5" ht="55" customHeight="1">
      <c r="A5" s="104" t="inlineStr">
        <is>
          <t>2</t>
        </is>
      </c>
      <c r="B5" s="104" t="inlineStr">
        <is>
          <t>Mietangebot Ohrstoepsel</t>
        </is>
      </c>
      <c r="C5" s="104" t="inlineStr">
        <is>
          <t>nicht verfuegbar</t>
        </is>
      </c>
      <c r="D5" s="104" t="inlineStr">
        <is>
          <t>Marktrecherche vom 15.04.2026</t>
        </is>
      </c>
      <c r="E5" s="104" t="inlineStr">
        <is>
          <t>Kein Mietmarkt fuer Einweg-Verbrauchsgueter vorhanden</t>
        </is>
      </c>
    </row>
    <row r="7">
      <c r="A7" s="105" t="inlineStr">
        <is>
          <t>Hinweis: Screenshots der oben genannten Webseiten als Anlage beifügen (Einfügen → Objekt/Bild).</t>
        </is>
      </c>
    </row>
  </sheetData>
  <mergeCells count="2">
    <mergeCell ref="A1:E1"/>
    <mergeCell ref="A7:E7"/>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2024-12-03T09:54:01Z</dcterms:created>
  <dcterms:modified xmlns:dcterms="http://purl.org/dc/terms/" xmlns:xsi="http://www.w3.org/2001/XMLSchema-instance" xsi:type="dcterms:W3CDTF">2026-04-15T10:57:58Z</dcterms:modified>
  <cp:lastModifiedBy>KompZWUBw</cp:lastModifiedBy>
  <cp:lastPrinted>2025-01-13T15:20:33Z</cp:lastPrinted>
</cp:coreProperties>
</file>