
<file path=[Content_Types].xml><?xml version="1.0" encoding="utf-8"?>
<Types xmlns="http://schemas.openxmlformats.org/package/2006/content-types">
  <Default Extension="rels" ContentType="application/vnd.openxmlformats-package.relationships+xml"/>
  <Default Extension="xml" ContentType="application/xml"/>
  <Default Extension="emf" ContentType="image/x-em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eYTEtIChf4qJPfAa+Nddj2CAxhgncFyAEPad65s3L2tn0IG4XeT7W3IKQYbqnhUgx6iwReZBdw2aIIvHiP5MFA==" workbookSaltValue="oSinCAtjcoG6x+JPmHFLhw=="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Vermerk"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 Vermerk'!$A$2:$G$22</definedName>
  </definedNames>
  <calcPr calcId="191029" fullCalcOnLoad="1"/>
</workbook>
</file>

<file path=xl/styles.xml><?xml version="1.0" encoding="utf-8"?>
<styleSheet xmlns="http://schemas.openxmlformats.org/spreadsheetml/2006/main">
  <numFmts count="1">
    <numFmt numFmtId="164" formatCode="#,##0.00\ &quot;€&quot;"/>
  </numFmts>
  <fonts count="28">
    <font>
      <name val="Calibri"/>
      <family val="2"/>
      <color theme="1"/>
      <sz val="11"/>
      <scheme val="minor"/>
    </font>
    <font>
      <name val="Calibri"/>
      <family val="2"/>
      <b val="1"/>
      <color theme="1"/>
      <sz val="11"/>
      <scheme val="minor"/>
    </font>
    <font>
      <name val="BundesSans Office"/>
      <family val="2"/>
      <i val="1"/>
      <color theme="1"/>
      <sz val="9"/>
    </font>
    <font>
      <name val="BundesSans Office"/>
      <family val="2"/>
      <color theme="1"/>
      <sz val="11"/>
    </font>
    <font>
      <name val="BundesSans Office"/>
      <family val="2"/>
      <b val="1"/>
      <color theme="1"/>
      <sz val="11"/>
    </font>
    <font>
      <name val="BundesSans Office"/>
      <family val="2"/>
      <b val="1"/>
      <color theme="1"/>
      <sz val="7"/>
    </font>
    <font>
      <name val="BundesSans Office"/>
      <family val="2"/>
      <color theme="1"/>
      <sz val="7"/>
    </font>
    <font>
      <name val="BundesSans Office"/>
      <family val="2"/>
      <color theme="1"/>
      <sz val="8"/>
    </font>
    <font>
      <name val="BundesSans Office"/>
      <family val="2"/>
      <b val="1"/>
      <color theme="1"/>
      <sz val="9"/>
    </font>
    <font>
      <name val="BundesSans Office"/>
      <family val="2"/>
      <color theme="1"/>
      <sz val="9"/>
    </font>
    <font>
      <name val="BundesSans Office"/>
      <family val="2"/>
      <i val="1"/>
      <color theme="2" tint="-0.249977111117893"/>
      <sz val="8"/>
    </font>
    <font>
      <name val="BundesSans Office"/>
      <family val="2"/>
      <b val="1"/>
      <color theme="1"/>
      <sz val="10"/>
    </font>
    <font>
      <name val="BundesSans Office"/>
      <family val="2"/>
      <b val="1"/>
      <color theme="1"/>
      <sz val="10"/>
      <u val="single"/>
    </font>
    <font>
      <name val="BundesSans Office"/>
      <family val="2"/>
      <sz val="9"/>
    </font>
    <font>
      <name val="BundesSans Office"/>
      <family val="2"/>
      <sz val="9"/>
      <u val="single"/>
    </font>
    <font>
      <name val="BundesSans Office"/>
      <family val="2"/>
      <b val="1"/>
      <color rgb="FFFF0000"/>
      <sz val="9"/>
      <u val="single"/>
    </font>
    <font>
      <name val="BundesSans Office"/>
      <family val="2"/>
      <b val="1"/>
      <i val="1"/>
      <sz val="9"/>
    </font>
    <font>
      <name val="Calibri"/>
      <family val="2"/>
      <color theme="10"/>
      <sz val="11"/>
      <u val="single"/>
      <scheme val="minor"/>
    </font>
    <font>
      <name val="BundesSans Office"/>
      <family val="2"/>
      <color theme="10"/>
      <sz val="9"/>
      <u val="single"/>
    </font>
    <font>
      <name val="BundesSans Office"/>
      <family val="2"/>
      <b val="1"/>
      <color theme="1"/>
      <sz val="9"/>
      <u val="single"/>
    </font>
    <font>
      <name val="BundesSans Office"/>
      <family val="2"/>
      <b val="1"/>
      <i val="1"/>
      <color theme="1"/>
      <sz val="9"/>
    </font>
    <font>
      <name val="BundesSans Office"/>
      <family val="2"/>
      <b val="1"/>
      <i val="1"/>
      <color rgb="FFFF0000"/>
      <sz val="9"/>
    </font>
    <font>
      <name val="Calibri"/>
      <family val="2"/>
      <b val="1"/>
      <color rgb="FFFF0000"/>
      <sz val="11"/>
      <scheme val="minor"/>
    </font>
    <font>
      <b val="1"/>
      <color rgb="001F3864"/>
      <sz val="11"/>
    </font>
    <font>
      <b val="1"/>
      <color rgb="001F3864"/>
      <sz val="12"/>
    </font>
    <font>
      <b val="1"/>
      <color rgb="00FFFFFF"/>
      <sz val="10"/>
    </font>
    <font>
      <i val="1"/>
      <color rgb="00595959"/>
      <sz val="9"/>
    </font>
    <font>
      <sz val="9"/>
    </font>
  </fonts>
  <fills count="9">
    <fill>
      <patternFill/>
    </fill>
    <fill>
      <patternFill patternType="gray125"/>
    </fill>
    <fill>
      <patternFill patternType="solid">
        <fgColor rgb="FFFFFFB7"/>
        <bgColor indexed="64"/>
      </patternFill>
    </fill>
    <fill>
      <patternFill patternType="solid">
        <fgColor theme="3" tint="0.7999816888943144"/>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theme="0" tint="-0.1499984740745262"/>
        <bgColor indexed="64"/>
      </patternFill>
    </fill>
    <fill>
      <patternFill patternType="solid">
        <fgColor rgb="001F3864"/>
        <bgColor rgb="001F3864"/>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bottom/>
      <diagonal/>
    </border>
    <border>
      <left/>
      <right style="medium">
        <color indexed="64"/>
      </right>
      <top/>
      <bottom/>
      <diagonal/>
    </border>
    <border>
      <left style="medium">
        <color indexed="64"/>
      </left>
      <right/>
      <top/>
      <bottom/>
      <diagonal/>
    </border>
    <border>
      <left/>
      <right style="thin">
        <color auto="1"/>
      </right>
      <top/>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right style="thin"/>
      <top style="thin"/>
      <bottom style="thin"/>
    </border>
  </borders>
  <cellStyleXfs count="2">
    <xf numFmtId="0" fontId="0" fillId="0" borderId="0"/>
    <xf numFmtId="0" fontId="17" fillId="0" borderId="0"/>
  </cellStyleXfs>
  <cellXfs count="107">
    <xf numFmtId="0" fontId="0" fillId="0" borderId="0" pivotButton="0" quotePrefix="0" xfId="0"/>
    <xf numFmtId="0" fontId="1" fillId="0" borderId="0" pivotButton="0" quotePrefix="0" xfId="0"/>
    <xf numFmtId="0" fontId="0" fillId="6" borderId="0" pivotButton="0" quotePrefix="0" xfId="0"/>
    <xf numFmtId="0" fontId="0" fillId="5" borderId="0" pivotButton="0" quotePrefix="0" xfId="0"/>
    <xf numFmtId="0" fontId="3" fillId="5" borderId="0" pivotButton="0" quotePrefix="0" xfId="0"/>
    <xf numFmtId="0" fontId="7" fillId="4" borderId="4" applyAlignment="1" applyProtection="1" pivotButton="0" quotePrefix="0" xfId="0">
      <alignment vertical="center"/>
      <protection locked="0" hidden="0"/>
    </xf>
    <xf numFmtId="0" fontId="7" fillId="4" borderId="2" applyProtection="1" pivotButton="0" quotePrefix="0" xfId="0">
      <protection locked="0" hidden="0"/>
    </xf>
    <xf numFmtId="0" fontId="9" fillId="5" borderId="1" applyAlignment="1" pivotButton="0" quotePrefix="0" xfId="0">
      <alignment horizontal="left" vertical="center" wrapText="1"/>
    </xf>
    <xf numFmtId="0" fontId="9" fillId="7" borderId="1" applyAlignment="1" applyProtection="1" pivotButton="0" quotePrefix="0" xfId="0">
      <alignment horizontal="centerContinuous" vertical="center" wrapText="1"/>
      <protection locked="0" hidden="0"/>
    </xf>
    <xf numFmtId="0" fontId="9" fillId="7" borderId="2" applyAlignment="1" applyProtection="1" pivotButton="0" quotePrefix="0" xfId="0">
      <alignment horizontal="centerContinuous" vertical="center" wrapText="1"/>
      <protection locked="0" hidden="0"/>
    </xf>
    <xf numFmtId="0" fontId="9" fillId="7" borderId="3" applyAlignment="1" applyProtection="1" pivotButton="0" quotePrefix="0" xfId="0">
      <alignment horizontal="centerContinuous" vertical="center" wrapText="1"/>
      <protection locked="0" hidden="0"/>
    </xf>
    <xf numFmtId="0" fontId="9" fillId="5" borderId="5" applyAlignment="1" pivotButton="0" quotePrefix="0" xfId="0">
      <alignment horizontal="left" vertical="center" wrapText="1"/>
    </xf>
    <xf numFmtId="0" fontId="9" fillId="5" borderId="6" applyAlignment="1" pivotButton="0" quotePrefix="0" xfId="0">
      <alignment horizontal="left" vertical="center" wrapText="1"/>
    </xf>
    <xf numFmtId="0" fontId="9" fillId="7" borderId="1" applyAlignment="1" pivotButton="0" quotePrefix="0" xfId="0">
      <alignment horizontal="centerContinuous" vertical="center" wrapText="1"/>
    </xf>
    <xf numFmtId="0" fontId="8" fillId="7" borderId="2" applyAlignment="1" pivotButton="0" quotePrefix="0" xfId="0">
      <alignment horizontal="centerContinuous" vertical="center"/>
    </xf>
    <xf numFmtId="0" fontId="9" fillId="7" borderId="2" applyAlignment="1" pivotButton="0" quotePrefix="0" xfId="0">
      <alignment horizontal="centerContinuous" vertical="center" wrapText="1"/>
    </xf>
    <xf numFmtId="0" fontId="9" fillId="5" borderId="11" applyProtection="1" pivotButton="0" quotePrefix="0" xfId="0">
      <protection locked="0" hidden="0"/>
    </xf>
    <xf numFmtId="0" fontId="9" fillId="5" borderId="16" applyProtection="1" pivotButton="0" quotePrefix="0" xfId="0">
      <protection locked="0" hidden="0"/>
    </xf>
    <xf numFmtId="0" fontId="9" fillId="7" borderId="20" applyAlignment="1" applyProtection="1" pivotButton="0" quotePrefix="0" xfId="0">
      <alignment horizontal="centerContinuous" vertical="center" wrapText="1"/>
      <protection locked="0" hidden="0"/>
    </xf>
    <xf numFmtId="0" fontId="9" fillId="7" borderId="10" applyAlignment="1" applyProtection="1" pivotButton="0" quotePrefix="0" xfId="0">
      <alignment horizontal="centerContinuous" vertical="center" wrapText="1"/>
      <protection locked="0" hidden="0"/>
    </xf>
    <xf numFmtId="0" fontId="9" fillId="5" borderId="14" applyAlignment="1" applyProtection="1" pivotButton="0" quotePrefix="0" xfId="0">
      <alignment horizontal="centerContinuous" vertical="center" wrapText="1"/>
      <protection locked="0" hidden="0"/>
    </xf>
    <xf numFmtId="0" fontId="9" fillId="5" borderId="15" applyAlignment="1" applyProtection="1" pivotButton="0" quotePrefix="0" xfId="0">
      <alignment horizontal="centerContinuous" vertical="center" wrapText="1"/>
      <protection locked="0" hidden="0"/>
    </xf>
    <xf numFmtId="0" fontId="9" fillId="7" borderId="21" applyAlignment="1" applyProtection="1" pivotButton="0" quotePrefix="0" xfId="0">
      <alignment horizontal="centerContinuous" vertical="center" wrapText="1"/>
      <protection locked="0" hidden="0"/>
    </xf>
    <xf numFmtId="0" fontId="9" fillId="5" borderId="0" pivotButton="0" quotePrefix="0" xfId="0"/>
    <xf numFmtId="0" fontId="16" fillId="5" borderId="0" applyAlignment="1" pivotButton="0" quotePrefix="0" xfId="0">
      <alignment horizontal="right" vertical="center" wrapText="1"/>
    </xf>
    <xf numFmtId="0" fontId="9" fillId="5" borderId="0" applyAlignment="1" pivotButton="0" quotePrefix="0" xfId="0">
      <alignment vertical="center"/>
    </xf>
    <xf numFmtId="0" fontId="9" fillId="5" borderId="24" applyProtection="1" pivotButton="0" quotePrefix="0" xfId="0">
      <protection locked="0" hidden="0"/>
    </xf>
    <xf numFmtId="0" fontId="9" fillId="5" borderId="25" applyAlignment="1" pivotButton="0" quotePrefix="0" xfId="0">
      <alignment vertical="center"/>
    </xf>
    <xf numFmtId="0" fontId="18" fillId="5" borderId="0" applyAlignment="1" pivotButton="0" quotePrefix="0" xfId="1">
      <alignment vertical="center"/>
    </xf>
    <xf numFmtId="0" fontId="19" fillId="5" borderId="26" applyAlignment="1" pivotButton="0" quotePrefix="0" xfId="0">
      <alignment horizontal="right" vertical="center"/>
    </xf>
    <xf numFmtId="0" fontId="20" fillId="5" borderId="0" applyAlignment="1" pivotButton="0" quotePrefix="0" xfId="0">
      <alignment horizontal="right" vertical="center" wrapText="1"/>
    </xf>
    <xf numFmtId="0" fontId="9" fillId="5" borderId="18" applyAlignment="1" applyProtection="1" pivotButton="0" quotePrefix="0" xfId="0">
      <alignment horizontal="centerContinuous" vertical="center" wrapText="1"/>
      <protection locked="0" hidden="0"/>
    </xf>
    <xf numFmtId="0" fontId="9" fillId="5" borderId="19" applyAlignment="1" applyProtection="1" pivotButton="0" quotePrefix="0" xfId="0">
      <alignment horizontal="centerContinuous" vertical="center" wrapText="1"/>
      <protection locked="0" hidden="0"/>
    </xf>
    <xf numFmtId="164" fontId="9" fillId="7" borderId="5" applyAlignment="1" applyProtection="1" pivotButton="0" quotePrefix="0" xfId="0">
      <alignment horizontal="right" vertical="center" wrapText="1"/>
      <protection locked="0" hidden="0"/>
    </xf>
    <xf numFmtId="164" fontId="9" fillId="5" borderId="3" applyAlignment="1" pivotButton="0" quotePrefix="0" xfId="0">
      <alignment vertical="center" wrapText="1"/>
    </xf>
    <xf numFmtId="0" fontId="17" fillId="0" borderId="0" pivotButton="0" quotePrefix="0" xfId="1"/>
    <xf numFmtId="0" fontId="22" fillId="0" borderId="0" pivotButton="0" quotePrefix="0" xfId="0"/>
    <xf numFmtId="14" fontId="9" fillId="7" borderId="7" applyAlignment="1" applyProtection="1" pivotButton="0" quotePrefix="0" xfId="0">
      <alignment horizontal="centerContinuous" vertical="center" wrapText="1"/>
      <protection locked="0" hidden="0"/>
    </xf>
    <xf numFmtId="14" fontId="9" fillId="7" borderId="1" applyAlignment="1" applyProtection="1" pivotButton="0" quotePrefix="0" xfId="0">
      <alignment horizontal="centerContinuous" vertical="center" wrapText="1"/>
      <protection locked="0" hidden="0"/>
    </xf>
    <xf numFmtId="14" fontId="10" fillId="5" borderId="8" applyAlignment="1" pivotButton="0" quotePrefix="0" xfId="0">
      <alignment wrapText="1"/>
    </xf>
    <xf numFmtId="14" fontId="10" fillId="5" borderId="9" pivotButton="0" quotePrefix="0" xfId="0"/>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11" fillId="2" borderId="1" applyAlignment="1" pivotButton="0" quotePrefix="0" xfId="0">
      <alignment horizontal="left" vertical="center" wrapText="1"/>
    </xf>
    <xf numFmtId="0" fontId="11" fillId="2" borderId="2" applyAlignment="1" pivotButton="0" quotePrefix="0" xfId="0">
      <alignment horizontal="left" vertical="center" wrapText="1"/>
    </xf>
    <xf numFmtId="0" fontId="11" fillId="2" borderId="3" applyAlignment="1" pivotButton="0" quotePrefix="0" xfId="0">
      <alignment horizontal="left" vertical="center" wrapText="1"/>
    </xf>
    <xf numFmtId="0" fontId="9" fillId="2" borderId="1" applyAlignment="1" pivotButton="0" quotePrefix="0" xfId="0">
      <alignment horizontal="left" vertical="center" wrapText="1"/>
    </xf>
    <xf numFmtId="0" fontId="2" fillId="2" borderId="2" applyAlignment="1" pivotButton="0" quotePrefix="0" xfId="0">
      <alignment horizontal="left" vertical="center" wrapText="1"/>
    </xf>
    <xf numFmtId="0" fontId="2" fillId="2" borderId="3" applyAlignment="1" pivotButton="0" quotePrefix="0" xfId="0">
      <alignment horizontal="left" vertical="center" wrapText="1"/>
    </xf>
    <xf numFmtId="0" fontId="4" fillId="2" borderId="1" applyAlignment="1" pivotButton="0" quotePrefix="0" xfId="0">
      <alignment horizontal="center" vertical="top" wrapText="1"/>
    </xf>
    <xf numFmtId="0" fontId="4" fillId="2" borderId="2" applyAlignment="1" pivotButton="0" quotePrefix="0" xfId="0">
      <alignment horizontal="center" vertical="top" wrapText="1"/>
    </xf>
    <xf numFmtId="0" fontId="4" fillId="2" borderId="3" applyAlignment="1" pivotButton="0" quotePrefix="0" xfId="0">
      <alignment horizontal="center" vertical="top" wrapText="1"/>
    </xf>
    <xf numFmtId="0" fontId="5" fillId="3" borderId="1" applyAlignment="1" pivotButton="0" quotePrefix="0" xfId="0">
      <alignment horizontal="center" vertical="top" wrapText="1"/>
    </xf>
    <xf numFmtId="0" fontId="5" fillId="3" borderId="3" applyAlignment="1" pivotButton="0" quotePrefix="0" xfId="0">
      <alignment horizontal="center" vertical="top" wrapText="1"/>
    </xf>
    <xf numFmtId="0" fontId="8" fillId="2" borderId="1" applyAlignment="1" pivotButton="0" quotePrefix="0" xfId="0">
      <alignment horizontal="center" vertical="center" wrapText="1"/>
    </xf>
    <xf numFmtId="0" fontId="8" fillId="2" borderId="3" applyAlignment="1" pivotButton="0" quotePrefix="0" xfId="0">
      <alignment horizontal="center" vertical="center" wrapText="1"/>
    </xf>
    <xf numFmtId="0" fontId="8" fillId="2" borderId="2" applyAlignment="1" pivotButton="0" quotePrefix="0" xfId="0">
      <alignment horizontal="center" vertical="center" wrapText="1"/>
    </xf>
    <xf numFmtId="0" fontId="8" fillId="5" borderId="1" applyAlignment="1" pivotButton="0" quotePrefix="0" xfId="0">
      <alignment horizontal="center" vertical="center"/>
    </xf>
    <xf numFmtId="0" fontId="8" fillId="5" borderId="3" applyAlignment="1" pivotButton="0" quotePrefix="0" xfId="0">
      <alignment horizontal="center" vertical="center"/>
    </xf>
    <xf numFmtId="0" fontId="9" fillId="5" borderId="14" applyAlignment="1" pivotButton="0" quotePrefix="0" xfId="0">
      <alignment horizontal="left" vertical="center"/>
    </xf>
    <xf numFmtId="0" fontId="9" fillId="5" borderId="22" applyAlignment="1" pivotButton="0" quotePrefix="0" xfId="0">
      <alignment horizontal="left" vertical="center"/>
    </xf>
    <xf numFmtId="0" fontId="9" fillId="5" borderId="23" applyAlignment="1" pivotButton="0" quotePrefix="0" xfId="0">
      <alignment horizontal="left" vertical="center"/>
    </xf>
    <xf numFmtId="0" fontId="9" fillId="5" borderId="17" applyAlignment="1" pivotButton="0" quotePrefix="0" xfId="0">
      <alignment horizontal="left" vertical="center"/>
    </xf>
    <xf numFmtId="0" fontId="9" fillId="5" borderId="16" applyAlignment="1" pivotButton="0" quotePrefix="0" xfId="0">
      <alignment horizontal="left" vertical="center"/>
    </xf>
    <xf numFmtId="0" fontId="9" fillId="5" borderId="18" applyAlignment="1" pivotButton="0" quotePrefix="0" xfId="0">
      <alignment horizontal="left" vertical="center"/>
    </xf>
    <xf numFmtId="0" fontId="2" fillId="7" borderId="1" applyAlignment="1" pivotButton="0" quotePrefix="0" xfId="0">
      <alignment horizontal="center" vertical="center" wrapText="1"/>
    </xf>
    <xf numFmtId="0" fontId="2" fillId="7" borderId="2" applyAlignment="1" pivotButton="0" quotePrefix="0" xfId="0">
      <alignment horizontal="center" vertical="center" wrapText="1"/>
    </xf>
    <xf numFmtId="0" fontId="2" fillId="7" borderId="3" applyAlignment="1" pivotButton="0" quotePrefix="0" xfId="0">
      <alignment horizontal="center" vertical="center" wrapText="1"/>
    </xf>
    <xf numFmtId="14" fontId="10" fillId="5" borderId="1" applyAlignment="1" pivotButton="0" quotePrefix="0" xfId="0">
      <alignment horizontal="center" wrapText="1"/>
    </xf>
    <xf numFmtId="14" fontId="10" fillId="5" borderId="3" applyAlignment="1" pivotButton="0" quotePrefix="0" xfId="0">
      <alignment horizontal="center" wrapText="1"/>
    </xf>
    <xf numFmtId="0" fontId="9" fillId="5" borderId="0" applyAlignment="1" applyProtection="1" pivotButton="0" quotePrefix="0" xfId="0">
      <alignment horizontal="left" vertical="center" wrapText="1"/>
      <protection locked="0" hidden="0"/>
    </xf>
    <xf numFmtId="0" fontId="9" fillId="5" borderId="25" applyAlignment="1" applyProtection="1" pivotButton="0" quotePrefix="0" xfId="0">
      <alignment horizontal="left" vertical="center" wrapText="1"/>
      <protection locked="0" hidden="0"/>
    </xf>
    <xf numFmtId="0" fontId="9" fillId="2" borderId="1" applyAlignment="1" pivotButton="0" quotePrefix="0" xfId="0">
      <alignment horizontal="right" vertical="center" wrapText="1"/>
    </xf>
    <xf numFmtId="0" fontId="9" fillId="2" borderId="2" applyAlignment="1" pivotButton="0" quotePrefix="0" xfId="0">
      <alignment horizontal="right" vertical="center" wrapText="1"/>
    </xf>
    <xf numFmtId="0" fontId="9" fillId="2" borderId="3" applyAlignment="1" pivotButton="0" quotePrefix="0" xfId="0">
      <alignment horizontal="right" vertical="center" wrapText="1"/>
    </xf>
    <xf numFmtId="0" fontId="9" fillId="5" borderId="12" applyAlignment="1" pivotButton="0" quotePrefix="0" xfId="0">
      <alignment horizontal="left" vertical="center" wrapText="1"/>
    </xf>
    <xf numFmtId="0" fontId="9" fillId="5" borderId="11" applyAlignment="1" pivotButton="0" quotePrefix="0" xfId="0">
      <alignment horizontal="left" vertical="center"/>
    </xf>
    <xf numFmtId="0" fontId="9" fillId="5" borderId="13" applyAlignment="1" pivotButton="0" quotePrefix="0" xfId="0">
      <alignment horizontal="left" vertical="center"/>
    </xf>
    <xf numFmtId="0" fontId="9" fillId="2" borderId="5" applyAlignment="1" pivotButton="0" quotePrefix="0" xfId="0">
      <alignment horizontal="left" vertical="center" wrapText="1"/>
    </xf>
    <xf numFmtId="0" fontId="0" fillId="0" borderId="2" pivotButton="0" quotePrefix="0" xfId="0"/>
    <xf numFmtId="0" fontId="0" fillId="0" borderId="3" pivotButton="0" quotePrefix="0" xfId="0"/>
    <xf numFmtId="0" fontId="2" fillId="2" borderId="5" applyAlignment="1" pivotButton="0" quotePrefix="0" xfId="0">
      <alignment horizontal="center" vertical="center" wrapText="1"/>
    </xf>
    <xf numFmtId="0" fontId="2" fillId="7" borderId="5" applyAlignment="1" pivotButton="0" quotePrefix="0" xfId="0">
      <alignment horizontal="center" vertical="center" wrapText="1"/>
    </xf>
    <xf numFmtId="0" fontId="4" fillId="2" borderId="5" applyAlignment="1" pivotButton="0" quotePrefix="0" xfId="0">
      <alignment horizontal="center" vertical="top" wrapText="1"/>
    </xf>
    <xf numFmtId="0" fontId="5" fillId="3" borderId="5" applyAlignment="1" pivotButton="0" quotePrefix="0" xfId="0">
      <alignment horizontal="center" vertical="top" wrapText="1"/>
    </xf>
    <xf numFmtId="0" fontId="8" fillId="2" borderId="5" applyAlignment="1" pivotButton="0" quotePrefix="0" xfId="0">
      <alignment horizontal="center" vertical="center" wrapText="1"/>
    </xf>
    <xf numFmtId="0" fontId="8" fillId="5" borderId="5" applyAlignment="1" pivotButton="0" quotePrefix="0" xfId="0">
      <alignment horizontal="center" vertical="center"/>
    </xf>
    <xf numFmtId="14" fontId="10" fillId="5" borderId="5" applyAlignment="1" pivotButton="0" quotePrefix="0" xfId="0">
      <alignment horizontal="center" wrapText="1"/>
    </xf>
    <xf numFmtId="0" fontId="23" fillId="5" borderId="11" applyAlignment="1" applyProtection="1" pivotButton="0" quotePrefix="0" xfId="0">
      <alignment horizontal="center" vertical="center"/>
      <protection locked="0" hidden="0"/>
    </xf>
    <xf numFmtId="0" fontId="9" fillId="5" borderId="32" applyAlignment="1" pivotButton="0" quotePrefix="0" xfId="0">
      <alignment horizontal="left" vertical="center"/>
    </xf>
    <xf numFmtId="0" fontId="0" fillId="0" borderId="34" pivotButton="0" quotePrefix="0" xfId="0"/>
    <xf numFmtId="0" fontId="0" fillId="0" borderId="35" pivotButton="0" quotePrefix="0" xfId="0"/>
    <xf numFmtId="0" fontId="0" fillId="0" borderId="31" pivotButton="0" quotePrefix="0" xfId="0"/>
    <xf numFmtId="0" fontId="0" fillId="0" borderId="17" pivotButton="0" quotePrefix="0" xfId="0"/>
    <xf numFmtId="0" fontId="11" fillId="2" borderId="5" applyAlignment="1" pivotButton="0" quotePrefix="0" xfId="0">
      <alignment horizontal="left" vertical="center" wrapText="1"/>
    </xf>
    <xf numFmtId="0" fontId="0" fillId="0" borderId="28" pivotButton="0" quotePrefix="0" xfId="0"/>
    <xf numFmtId="0" fontId="0" fillId="0" borderId="12" pivotButton="0" quotePrefix="0" xfId="0"/>
    <xf numFmtId="0" fontId="23" fillId="5" borderId="16" applyAlignment="1" applyProtection="1" pivotButton="0" quotePrefix="0" xfId="0">
      <alignment horizontal="center" vertical="center"/>
      <protection locked="0" hidden="0"/>
    </xf>
    <xf numFmtId="0" fontId="23" fillId="5" borderId="24" applyAlignment="1" applyProtection="1" pivotButton="0" quotePrefix="0" xfId="0">
      <alignment horizontal="center" vertical="center"/>
      <protection locked="0" hidden="0"/>
    </xf>
    <xf numFmtId="0" fontId="0" fillId="0" borderId="25" applyProtection="1" pivotButton="0" quotePrefix="0" xfId="0">
      <protection locked="0" hidden="0"/>
    </xf>
    <xf numFmtId="0" fontId="9" fillId="2" borderId="5" applyAlignment="1" pivotButton="0" quotePrefix="0" xfId="0">
      <alignment horizontal="right" vertical="center" wrapText="1"/>
    </xf>
    <xf numFmtId="0" fontId="24" fillId="0" borderId="0" applyAlignment="1" pivotButton="0" quotePrefix="0" xfId="0">
      <alignment horizontal="left" vertical="center"/>
    </xf>
    <xf numFmtId="0" fontId="25" fillId="8" borderId="36" applyAlignment="1" pivotButton="0" quotePrefix="0" xfId="0">
      <alignment horizontal="center" vertical="center" wrapText="1"/>
    </xf>
    <xf numFmtId="0" fontId="0" fillId="0" borderId="36" applyAlignment="1" pivotButton="0" quotePrefix="0" xfId="0">
      <alignment vertical="top" wrapText="1"/>
    </xf>
    <xf numFmtId="0" fontId="26" fillId="0" borderId="0" applyAlignment="1" pivotButton="0" quotePrefix="0" xfId="0">
      <alignment vertical="top" wrapText="1"/>
    </xf>
    <xf numFmtId="0" fontId="27" fillId="3" borderId="5" applyAlignment="1" pivotButton="0" quotePrefix="0" xfId="0">
      <alignment horizontal="right" vertical="center" wrapText="1"/>
    </xf>
  </cellXfs>
  <cellStyles count="2">
    <cellStyle name="Standard" xfId="0" builtinId="0"/>
    <cellStyle name="Link" xfId="1" builtinId="8"/>
  </cellStyles>
  <dxfs count="10">
    <dxf>
      <fill>
        <patternFill>
          <bgColor theme="0" tint="-0.1499679555650502"/>
        </patternFill>
      </fill>
    </dxf>
    <dxf>
      <font>
        <color theme="0"/>
      </font>
      <fill>
        <patternFill>
          <bgColor theme="0"/>
        </patternFill>
      </fill>
    </dxf>
    <dxf>
      <fill>
        <patternFill>
          <bgColor theme="0" tint="-0.1499679555650502"/>
        </patternFill>
      </fill>
    </dxf>
    <dxf>
      <fill>
        <patternFill>
          <bgColor theme="0" tint="-0.249946592608417"/>
        </patternFill>
      </fill>
      <border>
        <left style="thin">
          <color auto="1"/>
        </left>
        <bottom style="thin">
          <color auto="1"/>
        </bottom>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left style="thin">
          <color auto="1"/>
        </left>
        <bottom style="thin">
          <color auto="1"/>
        </bottom>
        <vertical/>
        <horizontal/>
      </border>
    </dxf>
    <dxf>
      <fill>
        <patternFill>
          <bgColor theme="0" tint="-0.1499679555650502"/>
        </patternFill>
      </fill>
      <border>
        <vertical/>
        <horizontal/>
      </border>
    </dxf>
    <dxf>
      <fill>
        <patternFill>
          <bgColor theme="0" tint="-0.1499679555650502"/>
        </patternFill>
      </fill>
      <border>
        <vertical/>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2.emf"/><Relationship Id="rId5" Type="http://schemas.openxmlformats.org/officeDocument/2006/relationships/image" Target="../media/image3.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iki.bundeswehr.org/spaces/BAIUDBwFC/pages/1664550295/Glossar" TargetMode="Externa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fitToPage="1"/>
  </sheetPr>
  <dimension ref="A1:S22"/>
  <sheetViews>
    <sheetView tabSelected="1" topLeftCell="A2" zoomScale="110" zoomScaleNormal="110" zoomScaleSheetLayoutView="100" workbookViewId="0">
      <selection activeCell="A4" sqref="A4:E4"/>
    </sheetView>
  </sheetViews>
  <sheetFormatPr baseColWidth="10" defaultColWidth="0" defaultRowHeight="15" zeroHeight="1" outlineLevelRow="1"/>
  <cols>
    <col width="13.7109375" customWidth="1" min="1" max="7"/>
    <col width="1" customWidth="1" min="8" max="8"/>
    <col hidden="1" width="45.7109375" customWidth="1" min="9" max="9"/>
    <col hidden="1" width="11.42578125" customWidth="1" min="10" max="16384"/>
  </cols>
  <sheetData>
    <row r="1" hidden="1" outlineLevel="1" ht="54" customHeight="1" thickBot="1">
      <c r="A1" s="79" t="inlineStr">
        <is>
          <t>Hinweis: Sofern Folgeausgaben (Wartung, Instandsetzung, externe Sachverständige) erforderlich sind und/oder auch eine Dienstleistung als Bedarfsdeckungsoption in Betracht kommt, ist dieses Template nicht für eine angemessene Dokumentation geeignet und eine andere Form der Dokumentation (z.B. ein anderes Template, siehe "WU kompakt") ist zu verwenden.</t>
        </is>
      </c>
      <c r="B1" s="80" t="n"/>
      <c r="C1" s="80" t="n"/>
      <c r="D1" s="80" t="n"/>
      <c r="E1" s="80" t="n"/>
      <c r="F1" s="80" t="n"/>
      <c r="G1" s="81" t="n"/>
      <c r="H1" s="3" t="n"/>
      <c r="I1" s="3" t="n"/>
    </row>
    <row r="2" collapsed="1" ht="14.25" customHeight="1" thickBot="1">
      <c r="A2" s="82" t="inlineStr">
        <is>
          <t>Zum Öffnen der allgemeinen Hinweise bitte links am Rand auf das "+" Symbol klicken</t>
        </is>
      </c>
      <c r="B2" s="80" t="n"/>
      <c r="C2" s="80" t="n"/>
      <c r="D2" s="80" t="n"/>
      <c r="E2" s="80" t="n"/>
      <c r="F2" s="80" t="n"/>
      <c r="G2" s="81" t="n"/>
      <c r="H2" s="4" t="n"/>
      <c r="I2" s="3" t="n"/>
      <c r="S2">
        <f t="array" ref="S2:S22">""</f>
        <v/>
      </c>
    </row>
    <row r="3" ht="29.25" customHeight="1" thickBot="1">
      <c r="A3" s="83" t="inlineStr">
        <is>
          <t>Für die weitere Bearbeitung dieser Vorlage sind bitte alle grau hinterlegten Felder auszufüllen.
Das Einfügen von weiteren Zeilen ist in diesem Template NICHT vorgesehen.</t>
        </is>
      </c>
      <c r="B3" s="80" t="n"/>
      <c r="C3" s="80" t="n"/>
      <c r="D3" s="80" t="n"/>
      <c r="E3" s="80" t="n"/>
      <c r="F3" s="80" t="n"/>
      <c r="G3" s="81" t="n"/>
      <c r="H3" s="4" t="n"/>
      <c r="I3" s="23" t="n"/>
    </row>
    <row r="4" ht="50.1" customHeight="1" thickBot="1">
      <c r="A4" s="84" t="inlineStr">
        <is>
          <t xml:space="preserve">Wirtschaftlichkeitsuntersuchung/Vermerk </t>
        </is>
      </c>
      <c r="B4" s="80" t="n"/>
      <c r="C4" s="80" t="n"/>
      <c r="D4" s="80" t="n"/>
      <c r="E4" s="81" t="n"/>
      <c r="F4" s="106" t="inlineStr">
        <is>
          <t>offen
Version: 27.01.2026</t>
        </is>
      </c>
      <c r="G4" s="81" t="n"/>
      <c r="H4" s="4" t="n"/>
      <c r="I4" s="23" t="n"/>
    </row>
    <row r="5" ht="39.95" customHeight="1" thickBot="1">
      <c r="A5" s="5" t="n"/>
      <c r="B5" s="86" t="inlineStr">
        <is>
          <t>Kauf von Gütern des
Anlagevermögens
(Nichtverbrauchsgüter)</t>
        </is>
      </c>
      <c r="C5" s="81" t="n"/>
      <c r="D5" s="6" t="n"/>
      <c r="E5" s="86" t="inlineStr">
        <is>
          <t>Kauf von Gütern des
Umlaufvermögens
(Einzel- und Mengenverbrauchsgüter)</t>
        </is>
      </c>
      <c r="F5" s="80" t="n"/>
      <c r="G5" s="81" t="n"/>
      <c r="H5" s="4" t="n"/>
      <c r="I5" s="23" t="n"/>
    </row>
    <row r="6" ht="35.25" customHeight="1" thickBot="1">
      <c r="A6" s="7" t="inlineStr">
        <is>
          <t>Dienststelle/
Org Einheit:</t>
        </is>
      </c>
      <c r="B6" s="8" t="inlineStr">
        <is>
          <t>BAIUDBw FC II 1</t>
        </is>
      </c>
      <c r="C6" s="9" t="n"/>
      <c r="D6" s="10" t="n"/>
      <c r="E6" s="11" t="inlineStr">
        <is>
          <t>Bearbeiter/-in:</t>
        </is>
      </c>
      <c r="F6" s="8" t="n"/>
      <c r="G6" s="10" t="n"/>
      <c r="H6" s="4" t="n"/>
      <c r="I6" s="23" t="n"/>
    </row>
    <row r="7" ht="35.25" customHeight="1" thickBot="1">
      <c r="A7" s="11" t="inlineStr">
        <is>
          <t>Datum der Erstellung:</t>
        </is>
      </c>
      <c r="B7" s="38" t="n">
        <v>46126</v>
      </c>
      <c r="C7" s="12" t="inlineStr">
        <is>
          <t>Beginn der Maßnahme:</t>
        </is>
      </c>
      <c r="D7" s="37" t="n">
        <v>46126</v>
      </c>
      <c r="E7" s="12" t="inlineStr">
        <is>
          <t>Art der 
Maßnahme:</t>
        </is>
      </c>
      <c r="F7" s="87" t="inlineStr">
        <is>
          <t>unterjährig</t>
        </is>
      </c>
      <c r="G7" s="81" t="n"/>
      <c r="H7" s="4" t="n"/>
      <c r="I7" s="24" t="inlineStr">
        <is>
          <t>Hinweise zur Dokumentenkopfzeile</t>
        </is>
      </c>
    </row>
    <row r="8" ht="35.25" customHeight="1" thickBot="1">
      <c r="A8" s="12" t="inlineStr">
        <is>
          <t>Bedarfsforderung:</t>
        </is>
      </c>
      <c r="B8" s="13" t="inlineStr">
        <is>
          <t>Die Dienststelle BAIUDBw FC II 1 benötigt 1 (eine) Schlagbohrmaschine mit einer Motorleistung von mindestens 1.300 W und einem maximalen Bohrdurchmesser von mindestens 22 mm in Beton sowie 24 mm in Mauerwerk für die eigenständige Durchführung von Befestigungs- und Montagearbeiten (Wandhalterungen, Regale, Beschilderungen) in den Dienstgebäuden. Der Bedarf besteht dauerhaft; die Nutzungshäufigkeit wird auf ca. 10–20 Einsätze pro Jahr geschätzt.</t>
        </is>
      </c>
      <c r="C8" s="14" t="n"/>
      <c r="D8" s="14" t="n"/>
      <c r="E8" s="15" t="n"/>
      <c r="F8" s="39" t="n"/>
      <c r="G8" s="40" t="n"/>
      <c r="H8" s="4" t="n"/>
      <c r="I8" s="24" t="inlineStr">
        <is>
          <t xml:space="preserve">Hinweise zur Bedarfsforderung </t>
        </is>
      </c>
      <c r="N8">
        <f>COLUMN(B8)</f>
        <v/>
      </c>
    </row>
    <row r="9" ht="20.1" customHeight="1" thickBot="1">
      <c r="A9" s="44" t="inlineStr">
        <is>
          <t>Wie wurde der Bedarf bisher gedeckt?</t>
        </is>
      </c>
      <c r="B9" s="80" t="n"/>
      <c r="C9" s="80" t="n"/>
      <c r="D9" s="80" t="n"/>
      <c r="E9" s="80" t="n"/>
      <c r="F9" s="88" t="inlineStr">
        <is>
          <t>Bitte Beschreibungen ergänzen (s. u.).</t>
        </is>
      </c>
      <c r="G9" s="81" t="n"/>
      <c r="H9" s="4" t="n"/>
      <c r="I9" s="23" t="n"/>
    </row>
    <row r="10" ht="18" customHeight="1">
      <c r="A10" s="89" t="inlineStr">
        <is>
          <t>✓</t>
        </is>
      </c>
      <c r="B10" s="90" t="inlineStr">
        <is>
          <t>Kauf der benötigten Güter.</t>
        </is>
      </c>
      <c r="C10" s="91" t="n"/>
      <c r="D10" s="91" t="n"/>
      <c r="E10" s="92" t="n"/>
      <c r="F10" s="20" t="n"/>
      <c r="G10" s="21" t="n"/>
      <c r="H10" s="4" t="n"/>
      <c r="I10" s="23" t="n"/>
      <c r="N10">
        <f>COLUMN(F10)</f>
        <v/>
      </c>
    </row>
    <row r="11" ht="18" customHeight="1">
      <c r="A11" s="17" t="n"/>
      <c r="B11" s="63" t="inlineStr">
        <is>
          <t>Bedarf ist neu entstanden.</t>
        </is>
      </c>
      <c r="C11" s="93" t="n"/>
      <c r="D11" s="93" t="n"/>
      <c r="E11" s="94" t="n"/>
      <c r="F11" s="31" t="n"/>
      <c r="G11" s="32" t="n"/>
      <c r="H11" s="4" t="n"/>
      <c r="I11" s="23" t="n"/>
      <c r="N11">
        <f>COLUMN(F11)</f>
        <v/>
      </c>
    </row>
    <row r="12" ht="18.75" customHeight="1" thickBot="1">
      <c r="A12" s="17" t="n"/>
      <c r="B12" s="63" t="inlineStr">
        <is>
          <t>Sonstiges:</t>
        </is>
      </c>
      <c r="C12" s="93" t="n"/>
      <c r="D12" s="93" t="n"/>
      <c r="E12" s="94" t="n"/>
      <c r="F12" s="18" t="n"/>
      <c r="G12" s="19" t="n"/>
      <c r="H12" s="4" t="n"/>
      <c r="I12" s="23" t="n"/>
      <c r="N12">
        <f>COLUMN(F12)</f>
        <v/>
      </c>
    </row>
    <row r="13" ht="20.1" customHeight="1" thickBot="1">
      <c r="A13" s="95" t="inlineStr">
        <is>
          <t>Der Bedarf kann nicht durch Eigenleistung gedeckt werden, weil</t>
        </is>
      </c>
      <c r="B13" s="80" t="n"/>
      <c r="C13" s="80" t="n"/>
      <c r="D13" s="80" t="n"/>
      <c r="E13" s="80" t="n"/>
      <c r="F13" s="80" t="n"/>
      <c r="G13" s="81" t="n"/>
      <c r="H13" s="4" t="n"/>
      <c r="I13" s="23" t="n"/>
    </row>
    <row r="14" ht="30" customHeight="1">
      <c r="A14" s="16" t="n"/>
      <c r="B14" s="76" t="inlineStr">
        <is>
          <t>der Bedarf ein Verbrauchsgut umfasst, welches innerhalb der Bundeswehr nicht vorhanden ist.</t>
        </is>
      </c>
      <c r="C14" s="96" t="n"/>
      <c r="D14" s="96" t="n"/>
      <c r="E14" s="97" t="n"/>
      <c r="F14" s="20" t="n"/>
      <c r="G14" s="21" t="n"/>
      <c r="H14" s="4" t="n"/>
      <c r="I14" s="30" t="inlineStr">
        <is>
          <t>Hinweis zu nicht in der Bw vorhandenen 
Verbauchsgütern</t>
        </is>
      </c>
      <c r="N14">
        <f>COLUMN(A14)</f>
        <v/>
      </c>
    </row>
    <row r="15" ht="18.75" customHeight="1" thickBot="1">
      <c r="A15" s="98" t="inlineStr">
        <is>
          <t>✓</t>
        </is>
      </c>
      <c r="B15" s="63" t="inlineStr">
        <is>
          <t>kein geeignetes Gerät im Eigenbestand der Dienststelle BAIUDBw FC II 1 vorhanden ist und eine Bereitstellung durch andere Dienststellen der Bundeswehr nicht möglich ist.</t>
        </is>
      </c>
      <c r="C15" s="93" t="n"/>
      <c r="D15" s="93" t="n"/>
      <c r="E15" s="94" t="n"/>
      <c r="F15" s="18" t="n"/>
      <c r="G15" s="22" t="n"/>
      <c r="H15" s="4" t="n"/>
      <c r="I15" s="23" t="n"/>
      <c r="N15">
        <f>COLUMN(F15)</f>
        <v/>
      </c>
    </row>
    <row r="16" ht="20.1" customHeight="1" thickBot="1">
      <c r="A16" s="95" t="inlineStr">
        <is>
          <t>Der Bedarf kann nicht durch Miete, Leasing oder Dienstleistung gedeckt werden, weil</t>
        </is>
      </c>
      <c r="B16" s="80" t="n"/>
      <c r="C16" s="80" t="n"/>
      <c r="D16" s="80" t="n"/>
      <c r="E16" s="80" t="n"/>
      <c r="F16" s="80" t="n"/>
      <c r="G16" s="81" t="n"/>
      <c r="H16" s="4" t="n"/>
      <c r="I16" s="23" t="n"/>
    </row>
    <row r="17" ht="18" customHeight="1">
      <c r="A17" s="16" t="n"/>
      <c r="B17" s="76" t="inlineStr">
        <is>
          <t>der Bedarf ein Verbrauchsgut umfasst.</t>
        </is>
      </c>
      <c r="C17" s="96" t="n"/>
      <c r="D17" s="96" t="n"/>
      <c r="E17" s="97" t="n"/>
      <c r="F17" s="20" t="n"/>
      <c r="G17" s="21" t="n"/>
      <c r="H17" s="4" t="n"/>
      <c r="I17" s="23" t="n"/>
      <c r="N17">
        <f>COLUMN(A17)</f>
        <v/>
      </c>
    </row>
    <row r="18" ht="18" customHeight="1">
      <c r="A18" s="17" t="n"/>
      <c r="B18" s="63" t="inlineStr">
        <is>
          <t>hierfür kein Anbieter gefunden werden konnte.</t>
        </is>
      </c>
      <c r="C18" s="93" t="n"/>
      <c r="D18" s="93" t="n"/>
      <c r="E18" s="94" t="n"/>
      <c r="F18" s="31" t="n"/>
      <c r="G18" s="32" t="n"/>
      <c r="H18" s="4" t="n"/>
      <c r="I18" s="23" t="n"/>
      <c r="N18">
        <f>COLUMN(F18)</f>
        <v/>
      </c>
    </row>
    <row r="19" ht="18.75" customHeight="1" thickBot="1">
      <c r="A19" s="98" t="inlineStr">
        <is>
          <t>✓</t>
        </is>
      </c>
      <c r="B19" s="63" t="inlineStr">
        <is>
          <t>Eine Anmietung ist wirtschaftlich nicht vorteilhaft: Die Tagesmiete beträgt ca. 12 € (Marktpreis April 2026), der Kaufpreis liegt bei ca. 205 €. Bei dauerhaftem Bedarf amortisiert sich der Kauf bereits nach weniger als 20 Einsatztagen. Die Vergabe als Dienstleistung wäre mit unverhältnismäßig hohem organisatorischem Aufwand verbunden.</t>
        </is>
      </c>
      <c r="C19" s="93" t="n"/>
      <c r="D19" s="93" t="n"/>
      <c r="E19" s="94" t="n"/>
      <c r="F19" s="18" t="n"/>
      <c r="G19" s="19" t="n"/>
      <c r="H19" s="4" t="n"/>
      <c r="I19" s="23" t="n"/>
      <c r="N19">
        <f>COLUMN(F19)</f>
        <v/>
      </c>
    </row>
    <row r="20" ht="20.1" customHeight="1" thickBot="1">
      <c r="A20" s="95" t="inlineStr">
        <is>
          <t>Der Bedarf ist ausschließlich unterjährig, weil</t>
        </is>
      </c>
      <c r="B20" s="80" t="n"/>
      <c r="C20" s="80" t="n"/>
      <c r="D20" s="80" t="n"/>
      <c r="E20" s="80" t="n"/>
      <c r="F20" s="80" t="n"/>
      <c r="G20" s="81" t="n"/>
      <c r="H20" s="4" t="n"/>
      <c r="I20" s="24" t="inlineStr">
        <is>
          <t>Beispiele für Folgeausgaben</t>
        </is>
      </c>
    </row>
    <row r="21" ht="18.75" customHeight="1" thickBot="1">
      <c r="A21" s="99" t="inlineStr">
        <is>
          <t>✓</t>
        </is>
      </c>
      <c r="B21" s="29" t="inlineStr">
        <is>
          <t>keine</t>
        </is>
      </c>
      <c r="C21" s="28" t="inlineStr">
        <is>
          <t>Folgeausgaben</t>
        </is>
      </c>
      <c r="D21" s="25" t="inlineStr">
        <is>
          <t>anfallen.</t>
        </is>
      </c>
      <c r="E21" s="27" t="n"/>
      <c r="F21" s="72" t="n"/>
      <c r="G21" s="100" t="n"/>
      <c r="H21" s="4" t="n"/>
      <c r="I21" s="23" t="n"/>
    </row>
    <row r="22" ht="30" customHeight="1" thickBot="1">
      <c r="A22" s="101" t="inlineStr">
        <is>
          <t>Nach Ausschluss der Optionen, die nicht bedarfsdeckend sind, verbleibt als einzige Option ein Kauf mit voraussichtlichen Ausgaben in Höhe von insgesamt:</t>
        </is>
      </c>
      <c r="B22" s="80" t="n"/>
      <c r="C22" s="80" t="n"/>
      <c r="D22" s="80" t="n"/>
      <c r="E22" s="81" t="n"/>
      <c r="F22" s="33" t="n">
        <v>205</v>
      </c>
      <c r="G22" s="34">
        <f>IF(F22&gt;0,F22*-1,"")</f>
        <v/>
      </c>
      <c r="H22" s="4" t="n"/>
      <c r="I22" s="23" t="n"/>
      <c r="N22">
        <f>COLUMN(F22)</f>
        <v/>
      </c>
    </row>
  </sheetData>
  <mergeCells count="23">
    <mergeCell ref="F4:G4"/>
    <mergeCell ref="A20:G20"/>
    <mergeCell ref="B15:E15"/>
    <mergeCell ref="F7:G7"/>
    <mergeCell ref="F21:G21"/>
    <mergeCell ref="A13:G13"/>
    <mergeCell ref="B18:E18"/>
    <mergeCell ref="A1:G1"/>
    <mergeCell ref="B12:E12"/>
    <mergeCell ref="A16:G16"/>
    <mergeCell ref="B11:E11"/>
    <mergeCell ref="A22:E22"/>
    <mergeCell ref="F9:G9"/>
    <mergeCell ref="B14:E14"/>
    <mergeCell ref="B17:E17"/>
    <mergeCell ref="A4:E4"/>
    <mergeCell ref="E5:G5"/>
    <mergeCell ref="B5:C5"/>
    <mergeCell ref="A3:G3"/>
    <mergeCell ref="A2:G2"/>
    <mergeCell ref="B19:E19"/>
    <mergeCell ref="B10:E10"/>
    <mergeCell ref="A9:E9"/>
  </mergeCells>
  <conditionalFormatting sqref="B6:D6">
    <cfRule type="expression" priority="14" dxfId="8">
      <formula>$B$6&lt;&gt;""</formula>
    </cfRule>
  </conditionalFormatting>
  <conditionalFormatting sqref="F6:G6">
    <cfRule type="expression" priority="12" dxfId="8">
      <formula>$F$6&lt;&gt;""</formula>
    </cfRule>
  </conditionalFormatting>
  <conditionalFormatting sqref="F17">
    <cfRule type="expression" priority="11" dxfId="3">
      <formula>$F$17&lt;&gt;""</formula>
    </cfRule>
  </conditionalFormatting>
  <conditionalFormatting sqref="F18">
    <cfRule type="expression" priority="10" dxfId="4">
      <formula>$F$18&lt;&gt;""</formula>
    </cfRule>
  </conditionalFormatting>
  <conditionalFormatting sqref="F10">
    <cfRule type="expression" priority="7" dxfId="4">
      <formula>$F$17&lt;&gt;""</formula>
    </cfRule>
  </conditionalFormatting>
  <conditionalFormatting sqref="F11">
    <cfRule type="expression" priority="6" dxfId="4">
      <formula>$F$18&lt;&gt;""</formula>
    </cfRule>
  </conditionalFormatting>
  <conditionalFormatting sqref="F14">
    <cfRule type="expression" priority="4" dxfId="3">
      <formula>$F$17&lt;&gt;""</formula>
    </cfRule>
  </conditionalFormatting>
  <conditionalFormatting sqref="B8:E8">
    <cfRule type="expression" priority="3" dxfId="0">
      <formula>$B$8&lt;&gt;""</formula>
    </cfRule>
  </conditionalFormatting>
  <conditionalFormatting sqref="F22">
    <cfRule type="cellIs" priority="2" operator="greaterThan" dxfId="1">
      <formula>0</formula>
    </cfRule>
  </conditionalFormatting>
  <conditionalFormatting sqref="G22">
    <cfRule type="expression" priority="1" dxfId="0">
      <formula>$G$22&lt;0</formula>
    </cfRule>
  </conditionalFormatting>
  <dataValidations count="1">
    <dataValidation sqref="F19" showDropDown="0" showInputMessage="1" showErrorMessage="1" allowBlank="1" type="custom">
      <formula1>IF(K19="WAHR",F19&lt;&gt;"","+G19")</formula1>
    </dataValidation>
  </dataValidations>
  <hyperlinks>
    <hyperlink xmlns:r="http://schemas.openxmlformats.org/officeDocument/2006/relationships" ref="C21" location="Glossar-E" r:id="rId1"/>
  </hyperlinks>
  <pageMargins left="0.7" right="0.7" top="0.787401575" bottom="0.787401575" header="0.3" footer="0.3"/>
  <pageSetup orientation="portrait" paperSize="9" scale="92" horizontalDpi="90" verticalDpi="90"/>
  <colBreaks count="1" manualBreakCount="1">
    <brk id="7" min="0" max="1048575" man="1"/>
  </colBreaks>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B4"/>
  <sheetViews>
    <sheetView workbookViewId="0">
      <selection activeCell="L42" sqref="L42"/>
    </sheetView>
  </sheetViews>
  <sheetFormatPr baseColWidth="10" defaultRowHeight="15"/>
  <sheetData>
    <row r="1">
      <c r="A1" s="36" t="inlineStr">
        <is>
          <t>Anlagen können hier entweder als Datei (via Einfügen --&gt; Objekt) oder als Screenshot einfügen werden.</t>
        </is>
      </c>
    </row>
    <row r="4">
      <c r="B4" s="35" t="n"/>
    </row>
  </sheetData>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2">
    <outlinePr summaryBelow="1" summaryRight="1"/>
    <pageSetUpPr/>
  </sheetPr>
  <dimension ref="A40:A41"/>
  <sheetViews>
    <sheetView topLeftCell="A40" workbookViewId="0">
      <selection activeCell="A41" sqref="A41"/>
    </sheetView>
  </sheetViews>
  <sheetFormatPr baseColWidth="10" defaultColWidth="0" defaultRowHeight="15" zeroHeight="1"/>
  <cols>
    <col width="18" bestFit="1" customWidth="1" min="1" max="1"/>
    <col hidden="1" width="11.42578125" customWidth="1" min="2" max="16384"/>
  </cols>
  <sheetData>
    <row r="40">
      <c r="A40" s="1" t="inlineStr">
        <is>
          <t>Zellsprungfunktion</t>
        </is>
      </c>
    </row>
    <row r="41">
      <c r="A41" s="2" t="inlineStr">
        <is>
          <t>Ein</t>
        </is>
      </c>
    </row>
  </sheetData>
  <dataValidations count="1">
    <dataValidation sqref="A41" showDropDown="0" showInputMessage="1" showErrorMessage="1" allowBlank="1" type="list">
      <formula1>"Ein, Aus"</formula1>
    </dataValidation>
  </dataValidations>
  <pageMargins left="0.7" right="0.7" top="0.787401575" bottom="0.787401575" header="0.3" footer="0.3"/>
</worksheet>
</file>

<file path=xl/worksheets/sheet4.xml><?xml version="1.0" encoding="utf-8"?>
<worksheet xmlns="http://schemas.openxmlformats.org/spreadsheetml/2006/main">
  <sheetPr>
    <outlinePr summaryBelow="1" summaryRight="1"/>
    <pageSetUpPr/>
  </sheetPr>
  <dimension ref="A1:E9"/>
  <sheetViews>
    <sheetView workbookViewId="0">
      <selection activeCell="A1" sqref="A1"/>
    </sheetView>
  </sheetViews>
  <sheetFormatPr baseColWidth="8" defaultRowHeight="15"/>
  <cols>
    <col width="5" customWidth="1" min="1" max="1"/>
    <col width="38" customWidth="1" min="2" max="2"/>
    <col width="16" customWidth="1" min="3" max="3"/>
    <col width="58" customWidth="1" min="4" max="4"/>
    <col width="32" customWidth="1" min="5" max="5"/>
  </cols>
  <sheetData>
    <row r="1" ht="22" customHeight="1">
      <c r="A1" s="102" t="inlineStr">
        <is>
          <t>Anlage: Marktrecherche – Schlagbohrmaschine (Abrufdatum: 14.04.2026)</t>
        </is>
      </c>
    </row>
    <row r="2" ht="8" customHeight="1"/>
    <row r="3" ht="28" customHeight="1">
      <c r="A3" s="103" t="inlineStr">
        <is>
          <t>Nr.</t>
        </is>
      </c>
      <c r="B3" s="103" t="inlineStr">
        <is>
          <t>Produkt / Beschreibung</t>
        </is>
      </c>
      <c r="C3" s="103" t="inlineStr">
        <is>
          <t>Preis (brutto)</t>
        </is>
      </c>
      <c r="D3" s="103" t="inlineStr">
        <is>
          <t>Quelle (URL)</t>
        </is>
      </c>
      <c r="E3" s="103" t="inlineStr">
        <is>
          <t>Bemerkung</t>
        </is>
      </c>
    </row>
    <row r="4" ht="60" customHeight="1">
      <c r="A4" s="104" t="n">
        <v>1</v>
      </c>
      <c r="B4" s="104" t="inlineStr">
        <is>
          <t>Bosch GSB 21-2 RCT Professional
1.300 W, Beton bis 22 mm, Mauerwerk bis 24 mm
inkl. Koffer, Art.-Nr. 060119C700</t>
        </is>
      </c>
      <c r="C4" s="104" t="inlineStr">
        <is>
          <t>ab 204,99 €</t>
        </is>
      </c>
      <c r="D4" s="104" t="inlineStr">
        <is>
          <t>https://geizhals.de/bosch-professional-gsb-21-2-rct-elektro-schlagbohrmaschine-inkl-koffer-060119c700-a452160.html</t>
        </is>
      </c>
      <c r="E4" s="104" t="inlineStr">
        <is>
          <t>Günstigstes Angebot Preisvergleich
Geizhals.de, 14.04.2026</t>
        </is>
      </c>
    </row>
    <row r="5" ht="60" customHeight="1">
      <c r="A5" s="104" t="n">
        <v>2</v>
      </c>
      <c r="B5" s="104" t="inlineStr">
        <is>
          <t>Bosch GSB 21-2 RCT Professional
(Preisvergleich)</t>
        </is>
      </c>
      <c r="C5" s="104" t="inlineStr">
        <is>
          <t>ab 198,84 €</t>
        </is>
      </c>
      <c r="D5" s="104" t="inlineStr">
        <is>
          <t>https://www.idealo.at/preisvergleich/OffersOfProduct/5673557_-gsb-21-2-rct-professional-bosch.html</t>
        </is>
      </c>
      <c r="E5" s="104" t="inlineStr">
        <is>
          <t>idealo Preisvergleich
14.04.2026</t>
        </is>
      </c>
    </row>
    <row r="6" ht="60" customHeight="1">
      <c r="A6" s="104" t="n">
        <v>3</v>
      </c>
      <c r="B6" s="104" t="inlineStr">
        <is>
          <t>Bosch GSB 21-2 RCT Professional
Herstellerseite / technische Daten</t>
        </is>
      </c>
      <c r="C6" s="104" t="inlineStr">
        <is>
          <t>k. A.</t>
        </is>
      </c>
      <c r="D6" s="104" t="inlineStr">
        <is>
          <t>https://www.bosch-professional.com/de/de/products/gsb-21-2-rct-060119C700</t>
        </is>
      </c>
      <c r="E6" s="104" t="inlineStr">
        <is>
          <t>Bosch Professional (Hersteller)
14.04.2026</t>
        </is>
      </c>
    </row>
    <row r="7" ht="60" customHeight="1">
      <c r="A7" s="104" t="n">
        <v>4</v>
      </c>
      <c r="B7" s="104" t="inlineStr">
        <is>
          <t>Schlagbohrmaschine 13 mm Futter
Tagesmiete – Vergleichsangebot</t>
        </is>
      </c>
      <c r="C7" s="104" t="inlineStr">
        <is>
          <t>ca. 12,00 €/Tag
(10,08 € netto)</t>
        </is>
      </c>
      <c r="D7" s="104" t="inlineStr">
        <is>
          <t>https://rentas.de/mietgeraet/bau-hausbau-tiefbau/bohren-meisseln-aufbrechen/schlagbohrmaschine-13-mm-futter/dortmund-kley/</t>
        </is>
      </c>
      <c r="E7" s="104" t="inlineStr">
        <is>
          <t>Rentas Mietgeräte
Nachweis Unwirtschaftlichkeit Miete
14.04.2026</t>
        </is>
      </c>
    </row>
    <row r="8" ht="10" customHeight="1"/>
    <row r="9" ht="32" customHeight="1">
      <c r="A9" s="105" t="inlineStr">
        <is>
          <t>Hinweis: Screenshots der oben genannten Webseiten sind diesem Dokument als Anlage beizufügen. Screenshots können hier manuell eingefügt werden (Einfügen → Objekt / Bild).</t>
        </is>
      </c>
    </row>
  </sheetData>
  <mergeCells count="2">
    <mergeCell ref="A1:E1"/>
    <mergeCell ref="A9:E9"/>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2024-12-03T09:54:01Z</dcterms:created>
  <dcterms:modified xmlns:dcterms="http://purl.org/dc/terms/" xmlns:xsi="http://www.w3.org/2001/XMLSchema-instance" xsi:type="dcterms:W3CDTF">2026-04-14T11:46:28Z</dcterms:modified>
  <cp:lastModifiedBy>KompZWUBw</cp:lastModifiedBy>
  <cp:lastPrinted>2025-01-13T15:20:33Z</cp:lastPrinted>
</cp:coreProperties>
</file>