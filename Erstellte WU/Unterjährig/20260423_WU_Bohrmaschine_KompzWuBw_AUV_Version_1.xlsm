
<file path=[Content_Types].xml><?xml version="1.0" encoding="utf-8"?>
<Types xmlns="http://schemas.openxmlformats.org/package/2006/content-types">
  <Default Extension="rels" ContentType="application/vnd.openxmlformats-package.relationships+xml"/>
  <Default Extension="xml" ContentType="application/xml"/>
  <Default Extension="emf" ContentType="image/x-emf"/>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eYTEtIChf4qJPfAa+Nddj2CAxhgncFyAEPad65s3L2tn0IG4XeT7W3IKQYbqnhUgx6iwReZBdw2aIIvHiP5MFA==" workbookSaltValue="oSinCAtjcoG6x+JPmHFLhw==" workbookSpinCount="100000"/>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WU Vermerk" sheetId="1" state="visible" r:id="rId1"/>
    <sheet xmlns:r="http://schemas.openxmlformats.org/officeDocument/2006/relationships" name="Anlagen" sheetId="2" state="visible" r:id="rId2"/>
    <sheet xmlns:r="http://schemas.openxmlformats.org/officeDocument/2006/relationships" name="Hilfstabelle" sheetId="3" state="hidden" r:id="rId3"/>
  </sheets>
  <definedNames>
    <definedName name="_xlnm.Print_Area" localSheetId="0">'WU Vermerk'!$A$2:$G$22</definedName>
  </definedNames>
  <calcPr calcId="191029" fullCalcOnLoad="1"/>
</workbook>
</file>

<file path=xl/styles.xml><?xml version="1.0" encoding="utf-8"?>
<styleSheet xmlns="http://schemas.openxmlformats.org/spreadsheetml/2006/main">
  <numFmts count="1">
    <numFmt numFmtId="164" formatCode="#,##0.00\ &quot;€&quot;"/>
  </numFmts>
  <fonts count="26">
    <font>
      <name val="Calibri"/>
      <family val="2"/>
      <color theme="1"/>
      <sz val="11"/>
      <scheme val="minor"/>
    </font>
    <font>
      <name val="Calibri"/>
      <family val="2"/>
      <b val="1"/>
      <color theme="1"/>
      <sz val="11"/>
      <scheme val="minor"/>
    </font>
    <font>
      <name val="BundesSans Office"/>
      <family val="2"/>
      <i val="1"/>
      <color theme="1"/>
      <sz val="9"/>
    </font>
    <font>
      <name val="BundesSans Office"/>
      <family val="2"/>
      <color theme="1"/>
      <sz val="11"/>
    </font>
    <font>
      <name val="BundesSans Office"/>
      <family val="2"/>
      <b val="1"/>
      <color theme="1"/>
      <sz val="11"/>
    </font>
    <font>
      <name val="BundesSans Office"/>
      <family val="2"/>
      <b val="1"/>
      <color theme="1"/>
      <sz val="7"/>
    </font>
    <font>
      <name val="BundesSans Office"/>
      <family val="2"/>
      <color theme="1"/>
      <sz val="7"/>
    </font>
    <font>
      <name val="BundesSans Office"/>
      <family val="2"/>
      <color theme="1"/>
      <sz val="8"/>
    </font>
    <font>
      <name val="BundesSans Office"/>
      <family val="2"/>
      <b val="1"/>
      <color theme="1"/>
      <sz val="9"/>
    </font>
    <font>
      <name val="BundesSans Office"/>
      <family val="2"/>
      <color theme="1"/>
      <sz val="9"/>
    </font>
    <font>
      <name val="BundesSans Office"/>
      <family val="2"/>
      <i val="1"/>
      <color theme="2" tint="-0.249977111117893"/>
      <sz val="8"/>
    </font>
    <font>
      <name val="BundesSans Office"/>
      <family val="2"/>
      <b val="1"/>
      <color theme="1"/>
      <sz val="10"/>
    </font>
    <font>
      <name val="BundesSans Office"/>
      <family val="2"/>
      <b val="1"/>
      <color theme="1"/>
      <sz val="10"/>
      <u val="single"/>
    </font>
    <font>
      <name val="BundesSans Office"/>
      <family val="2"/>
      <sz val="9"/>
    </font>
    <font>
      <name val="BundesSans Office"/>
      <family val="2"/>
      <sz val="9"/>
      <u val="single"/>
    </font>
    <font>
      <name val="BundesSans Office"/>
      <family val="2"/>
      <b val="1"/>
      <color rgb="FFFF0000"/>
      <sz val="9"/>
      <u val="single"/>
    </font>
    <font>
      <name val="BundesSans Office"/>
      <family val="2"/>
      <b val="1"/>
      <i val="1"/>
      <sz val="9"/>
    </font>
    <font>
      <name val="Calibri"/>
      <family val="2"/>
      <color theme="10"/>
      <sz val="11"/>
      <u val="single"/>
      <scheme val="minor"/>
    </font>
    <font>
      <name val="BundesSans Office"/>
      <family val="2"/>
      <color theme="10"/>
      <sz val="9"/>
      <u val="single"/>
    </font>
    <font>
      <name val="BundesSans Office"/>
      <family val="2"/>
      <b val="1"/>
      <color theme="1"/>
      <sz val="9"/>
      <u val="single"/>
    </font>
    <font>
      <name val="BundesSans Office"/>
      <family val="2"/>
      <b val="1"/>
      <i val="1"/>
      <color theme="1"/>
      <sz val="9"/>
    </font>
    <font>
      <name val="BundesSans Office"/>
      <family val="2"/>
      <b val="1"/>
      <i val="1"/>
      <color rgb="FFFF0000"/>
      <sz val="9"/>
    </font>
    <font>
      <name val="Calibri"/>
      <family val="2"/>
      <b val="1"/>
      <color rgb="FFFF0000"/>
      <sz val="11"/>
      <scheme val="minor"/>
    </font>
    <font>
      <b val="1"/>
      <color rgb="00FFFFFF"/>
      <sz val="12"/>
    </font>
    <font>
      <b val="1"/>
    </font>
    <font>
      <color rgb="000563C1"/>
      <u val="single"/>
    </font>
  </fonts>
  <fills count="10">
    <fill>
      <patternFill/>
    </fill>
    <fill>
      <patternFill patternType="gray125"/>
    </fill>
    <fill>
      <patternFill patternType="solid">
        <fgColor rgb="FFFFFFB7"/>
        <bgColor indexed="64"/>
      </patternFill>
    </fill>
    <fill>
      <patternFill patternType="solid">
        <fgColor theme="3" tint="0.7999816888943144"/>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theme="0" tint="-0.1499984740745262"/>
        <bgColor indexed="64"/>
      </patternFill>
    </fill>
    <fill>
      <patternFill patternType="solid">
        <fgColor rgb="001F4E78"/>
        <bgColor rgb="001F4E78"/>
      </patternFill>
    </fill>
    <fill>
      <patternFill patternType="solid">
        <fgColor rgb="00D9E1F2"/>
        <bgColor rgb="00D9E1F2"/>
      </patternFill>
    </fill>
  </fills>
  <borders count="3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top/>
      <bottom/>
      <diagonal/>
    </border>
    <border>
      <left/>
      <right style="medium">
        <color indexed="64"/>
      </right>
      <top/>
      <bottom/>
      <diagonal/>
    </border>
    <border>
      <left style="medium">
        <color indexed="64"/>
      </left>
      <right/>
      <top/>
      <bottom/>
      <diagonal/>
    </border>
    <border>
      <left/>
      <right style="thin">
        <color auto="1"/>
      </right>
      <top/>
      <bottom/>
      <diagonal/>
    </border>
    <border>
      <left/>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right style="thin"/>
      <top style="thin"/>
      <bottom style="thin"/>
    </border>
  </borders>
  <cellStyleXfs count="2">
    <xf numFmtId="0" fontId="0" fillId="0" borderId="0"/>
    <xf numFmtId="0" fontId="17" fillId="0" borderId="0"/>
  </cellStyleXfs>
  <cellXfs count="105">
    <xf numFmtId="0" fontId="0" fillId="0" borderId="0" pivotButton="0" quotePrefix="0" xfId="0"/>
    <xf numFmtId="0" fontId="1" fillId="0" borderId="0" pivotButton="0" quotePrefix="0" xfId="0"/>
    <xf numFmtId="0" fontId="0" fillId="6" borderId="0" pivotButton="0" quotePrefix="0" xfId="0"/>
    <xf numFmtId="0" fontId="0" fillId="5" borderId="0" pivotButton="0" quotePrefix="0" xfId="0"/>
    <xf numFmtId="0" fontId="3" fillId="5" borderId="0" pivotButton="0" quotePrefix="0" xfId="0"/>
    <xf numFmtId="0" fontId="7" fillId="4" borderId="4" applyAlignment="1" applyProtection="1" pivotButton="0" quotePrefix="0" xfId="0">
      <alignment vertical="center"/>
      <protection locked="0" hidden="0"/>
    </xf>
    <xf numFmtId="0" fontId="7" fillId="4" borderId="2" applyProtection="1" pivotButton="0" quotePrefix="0" xfId="0">
      <protection locked="0" hidden="0"/>
    </xf>
    <xf numFmtId="0" fontId="9" fillId="5" borderId="1" applyAlignment="1" pivotButton="0" quotePrefix="0" xfId="0">
      <alignment horizontal="left" vertical="center" wrapText="1"/>
    </xf>
    <xf numFmtId="0" fontId="9" fillId="7" borderId="1" applyAlignment="1" applyProtection="1" pivotButton="0" quotePrefix="0" xfId="0">
      <alignment horizontal="centerContinuous" vertical="center" wrapText="1"/>
      <protection locked="0" hidden="0"/>
    </xf>
    <xf numFmtId="0" fontId="9" fillId="7" borderId="2" applyAlignment="1" applyProtection="1" pivotButton="0" quotePrefix="0" xfId="0">
      <alignment horizontal="centerContinuous" vertical="center" wrapText="1"/>
      <protection locked="0" hidden="0"/>
    </xf>
    <xf numFmtId="0" fontId="9" fillId="7" borderId="3" applyAlignment="1" applyProtection="1" pivotButton="0" quotePrefix="0" xfId="0">
      <alignment horizontal="centerContinuous" vertical="center" wrapText="1"/>
      <protection locked="0" hidden="0"/>
    </xf>
    <xf numFmtId="0" fontId="9" fillId="5" borderId="5" applyAlignment="1" pivotButton="0" quotePrefix="0" xfId="0">
      <alignment horizontal="left" vertical="center" wrapText="1"/>
    </xf>
    <xf numFmtId="0" fontId="9" fillId="5" borderId="6" applyAlignment="1" pivotButton="0" quotePrefix="0" xfId="0">
      <alignment horizontal="left" vertical="center" wrapText="1"/>
    </xf>
    <xf numFmtId="0" fontId="9" fillId="5" borderId="11" applyProtection="1" pivotButton="0" quotePrefix="0" xfId="0">
      <protection locked="0" hidden="0"/>
    </xf>
    <xf numFmtId="0" fontId="9" fillId="5" borderId="16" applyProtection="1" pivotButton="0" quotePrefix="0" xfId="0">
      <protection locked="0" hidden="0"/>
    </xf>
    <xf numFmtId="0" fontId="9" fillId="7" borderId="20" applyAlignment="1" applyProtection="1" pivotButton="0" quotePrefix="0" xfId="0">
      <alignment horizontal="centerContinuous" vertical="center" wrapText="1"/>
      <protection locked="0" hidden="0"/>
    </xf>
    <xf numFmtId="0" fontId="9" fillId="7" borderId="10" applyAlignment="1" applyProtection="1" pivotButton="0" quotePrefix="0" xfId="0">
      <alignment horizontal="centerContinuous" vertical="center" wrapText="1"/>
      <protection locked="0" hidden="0"/>
    </xf>
    <xf numFmtId="0" fontId="9" fillId="5" borderId="14" applyAlignment="1" applyProtection="1" pivotButton="0" quotePrefix="0" xfId="0">
      <alignment horizontal="centerContinuous" vertical="center" wrapText="1"/>
      <protection locked="0" hidden="0"/>
    </xf>
    <xf numFmtId="0" fontId="9" fillId="5" borderId="15" applyAlignment="1" applyProtection="1" pivotButton="0" quotePrefix="0" xfId="0">
      <alignment horizontal="centerContinuous" vertical="center" wrapText="1"/>
      <protection locked="0" hidden="0"/>
    </xf>
    <xf numFmtId="0" fontId="9" fillId="7" borderId="21" applyAlignment="1" applyProtection="1" pivotButton="0" quotePrefix="0" xfId="0">
      <alignment horizontal="centerContinuous" vertical="center" wrapText="1"/>
      <protection locked="0" hidden="0"/>
    </xf>
    <xf numFmtId="0" fontId="9" fillId="5" borderId="0" pivotButton="0" quotePrefix="0" xfId="0"/>
    <xf numFmtId="0" fontId="16" fillId="5" borderId="0" applyAlignment="1" pivotButton="0" quotePrefix="0" xfId="0">
      <alignment horizontal="right" vertical="center" wrapText="1"/>
    </xf>
    <xf numFmtId="0" fontId="9" fillId="5" borderId="0" applyAlignment="1" pivotButton="0" quotePrefix="0" xfId="0">
      <alignment vertical="center"/>
    </xf>
    <xf numFmtId="0" fontId="9" fillId="5" borderId="24" applyProtection="1" pivotButton="0" quotePrefix="0" xfId="0">
      <protection locked="0" hidden="0"/>
    </xf>
    <xf numFmtId="0" fontId="9" fillId="5" borderId="25" applyAlignment="1" pivotButton="0" quotePrefix="0" xfId="0">
      <alignment vertical="center"/>
    </xf>
    <xf numFmtId="0" fontId="18" fillId="5" borderId="0" applyAlignment="1" pivotButton="0" quotePrefix="0" xfId="1">
      <alignment vertical="center"/>
    </xf>
    <xf numFmtId="0" fontId="19" fillId="5" borderId="26" applyAlignment="1" pivotButton="0" quotePrefix="0" xfId="0">
      <alignment horizontal="right" vertical="center"/>
    </xf>
    <xf numFmtId="0" fontId="20" fillId="5" borderId="0" applyAlignment="1" pivotButton="0" quotePrefix="0" xfId="0">
      <alignment horizontal="right" vertical="center" wrapText="1"/>
    </xf>
    <xf numFmtId="0" fontId="9" fillId="5" borderId="18" applyAlignment="1" applyProtection="1" pivotButton="0" quotePrefix="0" xfId="0">
      <alignment horizontal="centerContinuous" vertical="center" wrapText="1"/>
      <protection locked="0" hidden="0"/>
    </xf>
    <xf numFmtId="0" fontId="9" fillId="5" borderId="19" applyAlignment="1" applyProtection="1" pivotButton="0" quotePrefix="0" xfId="0">
      <alignment horizontal="centerContinuous" vertical="center" wrapText="1"/>
      <protection locked="0" hidden="0"/>
    </xf>
    <xf numFmtId="164" fontId="9" fillId="7" borderId="5" applyAlignment="1" applyProtection="1" pivotButton="0" quotePrefix="0" xfId="0">
      <alignment horizontal="right" vertical="center" wrapText="1"/>
      <protection locked="0" hidden="0"/>
    </xf>
    <xf numFmtId="164" fontId="9" fillId="5" borderId="3" applyAlignment="1" pivotButton="0" quotePrefix="0" xfId="0">
      <alignment vertical="center" wrapText="1"/>
    </xf>
    <xf numFmtId="0" fontId="17" fillId="0" borderId="0" pivotButton="0" quotePrefix="0" xfId="1"/>
    <xf numFmtId="0" fontId="22" fillId="0" borderId="0" pivotButton="0" quotePrefix="0" xfId="0"/>
    <xf numFmtId="14" fontId="9" fillId="7" borderId="7" applyAlignment="1" applyProtection="1" pivotButton="0" quotePrefix="0" xfId="0">
      <alignment horizontal="centerContinuous" vertical="center" wrapText="1"/>
      <protection locked="0" hidden="0"/>
    </xf>
    <xf numFmtId="14" fontId="9" fillId="7" borderId="1" applyAlignment="1" applyProtection="1" pivotButton="0" quotePrefix="0" xfId="0">
      <alignment horizontal="centerContinuous" vertical="center" wrapText="1"/>
      <protection locked="0" hidden="0"/>
    </xf>
    <xf numFmtId="14" fontId="10" fillId="5" borderId="8" applyAlignment="1" pivotButton="0" quotePrefix="0" xfId="0">
      <alignment wrapText="1"/>
    </xf>
    <xf numFmtId="14" fontId="10" fillId="5" borderId="9" pivotButton="0" quotePrefix="0" xfId="0"/>
    <xf numFmtId="0" fontId="2" fillId="2" borderId="1" applyAlignment="1" pivotButton="0" quotePrefix="0" xfId="0">
      <alignment horizontal="center" vertical="center" wrapText="1"/>
    </xf>
    <xf numFmtId="0" fontId="2" fillId="2" borderId="2" applyAlignment="1" pivotButton="0" quotePrefix="0" xfId="0">
      <alignment horizontal="center" vertical="center" wrapText="1"/>
    </xf>
    <xf numFmtId="0" fontId="2" fillId="2" borderId="3" applyAlignment="1" pivotButton="0" quotePrefix="0" xfId="0">
      <alignment horizontal="center" vertical="center" wrapText="1"/>
    </xf>
    <xf numFmtId="0" fontId="11" fillId="2" borderId="1" applyAlignment="1" pivotButton="0" quotePrefix="0" xfId="0">
      <alignment horizontal="left" vertical="center" wrapText="1"/>
    </xf>
    <xf numFmtId="0" fontId="11" fillId="2" borderId="2" applyAlignment="1" pivotButton="0" quotePrefix="0" xfId="0">
      <alignment horizontal="left" vertical="center" wrapText="1"/>
    </xf>
    <xf numFmtId="0" fontId="11" fillId="2" borderId="3" applyAlignment="1" pivotButton="0" quotePrefix="0" xfId="0">
      <alignment horizontal="left" vertical="center" wrapText="1"/>
    </xf>
    <xf numFmtId="0" fontId="9" fillId="2" borderId="1" applyAlignment="1" pivotButton="0" quotePrefix="0" xfId="0">
      <alignment horizontal="left" vertical="center" wrapText="1"/>
    </xf>
    <xf numFmtId="0" fontId="4" fillId="2" borderId="1" applyAlignment="1" pivotButton="0" quotePrefix="0" xfId="0">
      <alignment horizontal="center" vertical="top" wrapText="1"/>
    </xf>
    <xf numFmtId="0" fontId="4" fillId="2" borderId="2" applyAlignment="1" pivotButton="0" quotePrefix="0" xfId="0">
      <alignment horizontal="center" vertical="top" wrapText="1"/>
    </xf>
    <xf numFmtId="0" fontId="4" fillId="2" borderId="3" applyAlignment="1" pivotButton="0" quotePrefix="0" xfId="0">
      <alignment horizontal="center" vertical="top" wrapText="1"/>
    </xf>
    <xf numFmtId="0" fontId="5" fillId="3" borderId="1" applyAlignment="1" pivotButton="0" quotePrefix="0" xfId="0">
      <alignment horizontal="center" vertical="top" wrapText="1"/>
    </xf>
    <xf numFmtId="0" fontId="5" fillId="3" borderId="3" applyAlignment="1" pivotButton="0" quotePrefix="0" xfId="0">
      <alignment horizontal="center" vertical="top" wrapText="1"/>
    </xf>
    <xf numFmtId="0" fontId="8" fillId="2" borderId="1" applyAlignment="1" pivotButton="0" quotePrefix="0" xfId="0">
      <alignment horizontal="center" vertical="center" wrapText="1"/>
    </xf>
    <xf numFmtId="0" fontId="8" fillId="2" borderId="3" applyAlignment="1" pivotButton="0" quotePrefix="0" xfId="0">
      <alignment horizontal="center" vertical="center" wrapText="1"/>
    </xf>
    <xf numFmtId="0" fontId="8" fillId="2" borderId="2" applyAlignment="1" pivotButton="0" quotePrefix="0" xfId="0">
      <alignment horizontal="center" vertical="center" wrapText="1"/>
    </xf>
    <xf numFmtId="0" fontId="8" fillId="5" borderId="1" applyAlignment="1" pivotButton="0" quotePrefix="0" xfId="0">
      <alignment horizontal="center" vertical="center"/>
    </xf>
    <xf numFmtId="0" fontId="8" fillId="5" borderId="3" applyAlignment="1" pivotButton="0" quotePrefix="0" xfId="0">
      <alignment horizontal="center" vertical="center"/>
    </xf>
    <xf numFmtId="0" fontId="9" fillId="5" borderId="14" applyAlignment="1" pivotButton="0" quotePrefix="0" xfId="0">
      <alignment horizontal="left" vertical="center"/>
    </xf>
    <xf numFmtId="0" fontId="9" fillId="5" borderId="22" applyAlignment="1" pivotButton="0" quotePrefix="0" xfId="0">
      <alignment horizontal="left" vertical="center"/>
    </xf>
    <xf numFmtId="0" fontId="9" fillId="5" borderId="23" applyAlignment="1" pivotButton="0" quotePrefix="0" xfId="0">
      <alignment horizontal="left" vertical="center"/>
    </xf>
    <xf numFmtId="0" fontId="9" fillId="5" borderId="17" applyAlignment="1" pivotButton="0" quotePrefix="0" xfId="0">
      <alignment horizontal="left" vertical="center"/>
    </xf>
    <xf numFmtId="0" fontId="9" fillId="5" borderId="16" applyAlignment="1" pivotButton="0" quotePrefix="0" xfId="0">
      <alignment horizontal="left" vertical="center"/>
    </xf>
    <xf numFmtId="0" fontId="9" fillId="5" borderId="18" applyAlignment="1" pivotButton="0" quotePrefix="0" xfId="0">
      <alignment horizontal="left" vertical="center"/>
    </xf>
    <xf numFmtId="0" fontId="2" fillId="7" borderId="1" applyAlignment="1" pivotButton="0" quotePrefix="0" xfId="0">
      <alignment horizontal="center" vertical="center" wrapText="1"/>
    </xf>
    <xf numFmtId="0" fontId="2" fillId="7" borderId="2" applyAlignment="1" pivotButton="0" quotePrefix="0" xfId="0">
      <alignment horizontal="center" vertical="center" wrapText="1"/>
    </xf>
    <xf numFmtId="0" fontId="2" fillId="7" borderId="3" applyAlignment="1" pivotButton="0" quotePrefix="0" xfId="0">
      <alignment horizontal="center" vertical="center" wrapText="1"/>
    </xf>
    <xf numFmtId="14" fontId="10" fillId="5" borderId="1" applyAlignment="1" pivotButton="0" quotePrefix="0" xfId="0">
      <alignment horizontal="center" wrapText="1"/>
    </xf>
    <xf numFmtId="14" fontId="10" fillId="5" borderId="3" applyAlignment="1" pivotButton="0" quotePrefix="0" xfId="0">
      <alignment horizontal="center" wrapText="1"/>
    </xf>
    <xf numFmtId="0" fontId="9" fillId="7" borderId="1" applyAlignment="1" pivotButton="0" quotePrefix="0" xfId="0">
      <alignment horizontal="center" vertical="center" wrapText="1"/>
    </xf>
    <xf numFmtId="0" fontId="9" fillId="7" borderId="2" applyAlignment="1" pivotButton="0" quotePrefix="0" xfId="0">
      <alignment horizontal="center" vertical="center" wrapText="1"/>
    </xf>
    <xf numFmtId="0" fontId="9" fillId="7" borderId="3" applyAlignment="1" pivotButton="0" quotePrefix="0" xfId="0">
      <alignment horizontal="center" vertical="center" wrapText="1"/>
    </xf>
    <xf numFmtId="0" fontId="9" fillId="5" borderId="0" applyAlignment="1" applyProtection="1" pivotButton="0" quotePrefix="0" xfId="0">
      <alignment horizontal="left" vertical="center" wrapText="1"/>
      <protection locked="0" hidden="0"/>
    </xf>
    <xf numFmtId="0" fontId="9" fillId="5" borderId="25" applyAlignment="1" applyProtection="1" pivotButton="0" quotePrefix="0" xfId="0">
      <alignment horizontal="left" vertical="center" wrapText="1"/>
      <protection locked="0" hidden="0"/>
    </xf>
    <xf numFmtId="0" fontId="9" fillId="2" borderId="1" applyAlignment="1" pivotButton="0" quotePrefix="0" xfId="0">
      <alignment horizontal="right" vertical="center" wrapText="1"/>
    </xf>
    <xf numFmtId="0" fontId="9" fillId="2" borderId="2" applyAlignment="1" pivotButton="0" quotePrefix="0" xfId="0">
      <alignment horizontal="right" vertical="center" wrapText="1"/>
    </xf>
    <xf numFmtId="0" fontId="9" fillId="2" borderId="3" applyAlignment="1" pivotButton="0" quotePrefix="0" xfId="0">
      <alignment horizontal="right" vertical="center" wrapText="1"/>
    </xf>
    <xf numFmtId="0" fontId="9" fillId="5" borderId="12" applyAlignment="1" pivotButton="0" quotePrefix="0" xfId="0">
      <alignment horizontal="left" vertical="center" wrapText="1"/>
    </xf>
    <xf numFmtId="0" fontId="9" fillId="5" borderId="11" applyAlignment="1" pivotButton="0" quotePrefix="0" xfId="0">
      <alignment horizontal="left" vertical="center"/>
    </xf>
    <xf numFmtId="0" fontId="9" fillId="5" borderId="13" applyAlignment="1" pivotButton="0" quotePrefix="0" xfId="0">
      <alignment horizontal="left" vertical="center"/>
    </xf>
    <xf numFmtId="0" fontId="9" fillId="2" borderId="2" applyAlignment="1" pivotButton="0" quotePrefix="0" xfId="0">
      <alignment horizontal="left" vertical="center" wrapText="1"/>
    </xf>
    <xf numFmtId="0" fontId="9" fillId="2" borderId="3" applyAlignment="1" pivotButton="0" quotePrefix="0" xfId="0">
      <alignment horizontal="left" vertical="center" wrapText="1"/>
    </xf>
    <xf numFmtId="0" fontId="9" fillId="2" borderId="5" applyAlignment="1" pivotButton="0" quotePrefix="0" xfId="0">
      <alignment horizontal="left" vertical="center" wrapText="1"/>
    </xf>
    <xf numFmtId="0" fontId="0" fillId="0" borderId="2" pivotButton="0" quotePrefix="0" xfId="0"/>
    <xf numFmtId="0" fontId="0" fillId="0" borderId="3" pivotButton="0" quotePrefix="0" xfId="0"/>
    <xf numFmtId="0" fontId="2" fillId="2" borderId="5" applyAlignment="1" pivotButton="0" quotePrefix="0" xfId="0">
      <alignment horizontal="center" vertical="center" wrapText="1"/>
    </xf>
    <xf numFmtId="0" fontId="2" fillId="7" borderId="5" applyAlignment="1" pivotButton="0" quotePrefix="0" xfId="0">
      <alignment horizontal="center" vertical="center" wrapText="1"/>
    </xf>
    <xf numFmtId="0" fontId="4" fillId="2" borderId="5" applyAlignment="1" pivotButton="0" quotePrefix="0" xfId="0">
      <alignment horizontal="center" vertical="top" wrapText="1"/>
    </xf>
    <xf numFmtId="0" fontId="5" fillId="3" borderId="5" applyAlignment="1" pivotButton="0" quotePrefix="0" xfId="0">
      <alignment horizontal="center" vertical="top" wrapText="1"/>
    </xf>
    <xf numFmtId="0" fontId="8" fillId="2" borderId="5" applyAlignment="1" pivotButton="0" quotePrefix="0" xfId="0">
      <alignment horizontal="center" vertical="center" wrapText="1"/>
    </xf>
    <xf numFmtId="0" fontId="8" fillId="5" borderId="5" applyAlignment="1" pivotButton="0" quotePrefix="0" xfId="0">
      <alignment horizontal="center" vertical="center"/>
    </xf>
    <xf numFmtId="0" fontId="9" fillId="7" borderId="5" applyAlignment="1" pivotButton="0" quotePrefix="0" xfId="0">
      <alignment horizontal="center" vertical="center" wrapText="1"/>
    </xf>
    <xf numFmtId="14" fontId="10" fillId="5" borderId="5" applyAlignment="1" pivotButton="0" quotePrefix="0" xfId="0">
      <alignment horizontal="center" wrapText="1"/>
    </xf>
    <xf numFmtId="0" fontId="9" fillId="5" borderId="32" applyAlignment="1" pivotButton="0" quotePrefix="0" xfId="0">
      <alignment horizontal="left" vertical="center"/>
    </xf>
    <xf numFmtId="0" fontId="0" fillId="0" borderId="34" pivotButton="0" quotePrefix="0" xfId="0"/>
    <xf numFmtId="0" fontId="0" fillId="0" borderId="35" pivotButton="0" quotePrefix="0" xfId="0"/>
    <xf numFmtId="0" fontId="0" fillId="0" borderId="31" pivotButton="0" quotePrefix="0" xfId="0"/>
    <xf numFmtId="0" fontId="0" fillId="0" borderId="17" pivotButton="0" quotePrefix="0" xfId="0"/>
    <xf numFmtId="0" fontId="11" fillId="2" borderId="5" applyAlignment="1" pivotButton="0" quotePrefix="0" xfId="0">
      <alignment horizontal="left" vertical="center" wrapText="1"/>
    </xf>
    <xf numFmtId="0" fontId="0" fillId="0" borderId="28" pivotButton="0" quotePrefix="0" xfId="0"/>
    <xf numFmtId="0" fontId="0" fillId="0" borderId="12" pivotButton="0" quotePrefix="0" xfId="0"/>
    <xf numFmtId="0" fontId="0" fillId="0" borderId="25" applyProtection="1" pivotButton="0" quotePrefix="0" xfId="0">
      <protection locked="0" hidden="0"/>
    </xf>
    <xf numFmtId="0" fontId="9" fillId="2" borderId="5" applyAlignment="1" pivotButton="0" quotePrefix="0" xfId="0">
      <alignment horizontal="right" vertical="center" wrapText="1"/>
    </xf>
    <xf numFmtId="0" fontId="23" fillId="8" borderId="0" pivotButton="0" quotePrefix="0" xfId="0"/>
    <xf numFmtId="0" fontId="24" fillId="9" borderId="36" pivotButton="0" quotePrefix="0" xfId="0"/>
    <xf numFmtId="0" fontId="25" fillId="0" borderId="36" pivotButton="0" quotePrefix="0" xfId="0"/>
    <xf numFmtId="0" fontId="17" fillId="0" borderId="36" pivotButton="0" quotePrefix="0" xfId="1"/>
    <xf numFmtId="0" fontId="0" fillId="0" borderId="36" pivotButton="0" quotePrefix="0" xfId="0"/>
  </cellXfs>
  <cellStyles count="2">
    <cellStyle name="Standard" xfId="0" builtinId="0"/>
    <cellStyle name="Link" xfId="1" builtinId="8"/>
  </cellStyles>
  <dxfs count="10">
    <dxf>
      <fill>
        <patternFill>
          <bgColor theme="0" tint="-0.1499679555650502"/>
        </patternFill>
      </fill>
    </dxf>
    <dxf>
      <font>
        <color theme="0"/>
      </font>
      <fill>
        <patternFill>
          <bgColor theme="0"/>
        </patternFill>
      </fill>
    </dxf>
    <dxf>
      <fill>
        <patternFill>
          <bgColor theme="0" tint="-0.1499679555650502"/>
        </patternFill>
      </fill>
    </dxf>
    <dxf>
      <fill>
        <patternFill>
          <bgColor theme="0" tint="-0.249946592608417"/>
        </patternFill>
      </fill>
      <border>
        <left style="thin">
          <color auto="1"/>
        </left>
        <bottom style="thin">
          <color auto="1"/>
        </bottom>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left style="thin">
          <color auto="1"/>
        </left>
        <bottom style="thin">
          <color auto="1"/>
        </bottom>
        <vertical/>
        <horizontal/>
      </border>
    </dxf>
    <dxf>
      <fill>
        <patternFill>
          <bgColor theme="0" tint="-0.1499679555650502"/>
        </patternFill>
      </fill>
      <border>
        <vertical/>
        <horizontal/>
      </border>
    </dxf>
    <dxf>
      <fill>
        <patternFill>
          <bgColor theme="0" tint="-0.1499679555650502"/>
        </patternFill>
      </fill>
      <border>
        <vertical/>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iki.bundeswehr.org/spaces/BAIUDBwFC/pages/1664550295/Glossar" TargetMode="External" Id="rId1"/><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shop.scheppach.com/Akku-Bohrschrauber-BC-DD60-X-Scheppach-Brushless-Drehmoment-60Nm-Drehmomentstufen-25-1-LED/5909239900" TargetMode="External" Id="rId1"/><Relationship Type="http://schemas.openxmlformats.org/officeDocument/2006/relationships/hyperlink" Target="https://wall-baumaschinen.de/Maschinen/akkubohrschrauber-mieten/" TargetMode="External" Id="rId2"/></Relationships>
</file>

<file path=xl/worksheets/sheet1.xml><?xml version="1.0" encoding="utf-8"?>
<worksheet xmlns="http://schemas.openxmlformats.org/spreadsheetml/2006/main">
  <sheetPr codeName="Tabelle1">
    <outlinePr summaryBelow="1" summaryRight="1"/>
    <pageSetUpPr fitToPage="1"/>
  </sheetPr>
  <dimension ref="A1:S22"/>
  <sheetViews>
    <sheetView tabSelected="1" zoomScale="110" zoomScaleNormal="110" zoomScaleSheetLayoutView="100" workbookViewId="0">
      <selection activeCell="A2" sqref="A2:G2"/>
    </sheetView>
  </sheetViews>
  <sheetFormatPr baseColWidth="10" defaultColWidth="0" defaultRowHeight="14.4" zeroHeight="1" outlineLevelRow="1"/>
  <cols>
    <col width="14.21875" customWidth="1" min="1" max="1"/>
    <col width="13.6640625" customWidth="1" min="2" max="7"/>
    <col width="1" customWidth="1" min="8" max="8"/>
    <col hidden="1" width="45.6640625" customWidth="1" min="9" max="9"/>
    <col hidden="1" width="11.44140625" customWidth="1" min="10" max="16384"/>
  </cols>
  <sheetData>
    <row r="1" outlineLevel="1" ht="54" customHeight="1" thickBot="1">
      <c r="A1" s="79" t="inlineStr">
        <is>
          <t>Hinweis: Sofern Folgeausgaben (Wartung, Instandsetzung, externe Sachverständige) erforderlich sind und/oder auch eine Dienstleistung als Bedarfsdeckungsoption in Betracht kommt, ist dieses Template nicht für eine angemessene Dokumentation geeignet und eine andere Form der Dokumentation (z.B. ein anderes Template, siehe "WU kompakt") ist zu verwenden.</t>
        </is>
      </c>
      <c r="B1" s="80" t="n"/>
      <c r="C1" s="80" t="n"/>
      <c r="D1" s="80" t="n"/>
      <c r="E1" s="80" t="n"/>
      <c r="F1" s="80" t="n"/>
      <c r="G1" s="81" t="n"/>
      <c r="H1" s="3" t="n"/>
      <c r="I1" s="3" t="n"/>
    </row>
    <row r="2" ht="14.25" customHeight="1" thickBot="1">
      <c r="A2" s="82" t="inlineStr">
        <is>
          <t>Zum Öffnen der allgemeinen Hinweise bitte links am Rand auf das "+" Symbol klicken</t>
        </is>
      </c>
      <c r="B2" s="80" t="n"/>
      <c r="C2" s="80" t="n"/>
      <c r="D2" s="80" t="n"/>
      <c r="E2" s="80" t="n"/>
      <c r="F2" s="80" t="n"/>
      <c r="G2" s="81" t="n"/>
      <c r="H2" s="4" t="n"/>
      <c r="I2" s="3" t="n"/>
      <c r="S2">
        <f t="array" ref="S2:S22">""</f>
        <v/>
      </c>
    </row>
    <row r="3" ht="29.25" customHeight="1" thickBot="1">
      <c r="A3" s="83" t="inlineStr">
        <is>
          <t>Für die weitere Bearbeitung dieser Vorlage sind bitte alle grau hinterlegten Felder auszufüllen.
Das Einfügen von weiteren Zeilen ist in diesem Template NICHT vorgesehen.</t>
        </is>
      </c>
      <c r="B3" s="80" t="n"/>
      <c r="C3" s="80" t="n"/>
      <c r="D3" s="80" t="n"/>
      <c r="E3" s="80" t="n"/>
      <c r="F3" s="80" t="n"/>
      <c r="G3" s="81" t="n"/>
      <c r="H3" s="4" t="n"/>
      <c r="I3" s="20" t="n"/>
    </row>
    <row r="4" ht="33.6" customHeight="1" thickBot="1">
      <c r="A4" s="84" t="inlineStr">
        <is>
          <t xml:space="preserve">Wirtschaftlichkeitsuntersuchung/Vermerk </t>
        </is>
      </c>
      <c r="B4" s="80" t="n"/>
      <c r="C4" s="80" t="n"/>
      <c r="D4" s="80" t="n"/>
      <c r="E4" s="81" t="n"/>
      <c r="F4" s="85" t="inlineStr">
        <is>
          <t>„PersDat Schutzbereich 1“
„SE 10066864 S“
Version: 27.01.2026</t>
        </is>
      </c>
      <c r="G4" s="81" t="n"/>
      <c r="H4" s="4" t="n"/>
      <c r="I4" s="20" t="n"/>
    </row>
    <row r="5" ht="39.9" customHeight="1" thickBot="1">
      <c r="A5" s="5" t="inlineStr">
        <is>
          <t>X</t>
        </is>
      </c>
      <c r="B5" s="86" t="inlineStr">
        <is>
          <t>Kauf von Gütern des
Anlagevermögens
(Nichtverbrauchsgüter)</t>
        </is>
      </c>
      <c r="C5" s="81" t="n"/>
      <c r="D5" s="6" t="n"/>
      <c r="E5" s="86" t="inlineStr">
        <is>
          <t>Kauf von Gütern des
Umlaufvermögens
(Einzel- und Mengenverbrauchsgüter)</t>
        </is>
      </c>
      <c r="F5" s="80" t="n"/>
      <c r="G5" s="81" t="n"/>
      <c r="H5" s="4" t="n"/>
      <c r="I5" s="20" t="n"/>
    </row>
    <row r="6" ht="23.4" customHeight="1" thickBot="1">
      <c r="A6" s="7" t="inlineStr">
        <is>
          <t>Dienststelle/
Org Einheit:</t>
        </is>
      </c>
      <c r="B6" s="8" t="inlineStr">
        <is>
          <t>KompzWuBw</t>
        </is>
      </c>
      <c r="C6" s="9" t="n"/>
      <c r="D6" s="10" t="n"/>
      <c r="E6" s="11" t="inlineStr">
        <is>
          <t>Bearbeiter/-in:</t>
        </is>
      </c>
      <c r="F6" s="8" t="inlineStr">
        <is>
          <t>Philipp Lukas</t>
        </is>
      </c>
      <c r="G6" s="10" t="n"/>
      <c r="H6" s="4" t="n"/>
      <c r="I6" s="20" t="n"/>
    </row>
    <row r="7" ht="23.4" customHeight="1" thickBot="1">
      <c r="A7" s="11" t="inlineStr">
        <is>
          <t>Datum der Erstellung:</t>
        </is>
      </c>
      <c r="B7" s="35" t="n">
        <v>46135.64210617214</v>
      </c>
      <c r="C7" s="12" t="inlineStr">
        <is>
          <t>Beginn der Maßnahme:</t>
        </is>
      </c>
      <c r="D7" s="34" t="n">
        <v>46135</v>
      </c>
      <c r="E7" s="12" t="inlineStr">
        <is>
          <t>Art der 
Maßnahme:</t>
        </is>
      </c>
      <c r="F7" s="87" t="inlineStr">
        <is>
          <t>unterjährig</t>
        </is>
      </c>
      <c r="G7" s="81" t="n"/>
      <c r="H7" s="4" t="n"/>
      <c r="I7" s="21" t="inlineStr">
        <is>
          <t>Hinweise zur Dokumentenkopfzeile</t>
        </is>
      </c>
    </row>
    <row r="8" ht="35.25" customHeight="1" thickBot="1">
      <c r="A8" s="12" t="inlineStr">
        <is>
          <t>Bedarfsforderung:</t>
        </is>
      </c>
      <c r="B8" s="88" t="inlineStr">
        <is>
          <t>Akkubetriebenes Elektrowerkzeug zum Bohren mit Schnellspannfutter. Mindestanforderungen: Drehmoment bis 60 Nm. Einsatz für tägliche Wartungsarbeiten (ca. 220 Tage/Jahr, 3-4 Stunden pro Einsatztag). Eigenständige Verfügbarkeit erforderlich.</t>
        </is>
      </c>
      <c r="C8" s="80" t="n"/>
      <c r="D8" s="80" t="n"/>
      <c r="E8" s="81" t="n"/>
      <c r="F8" s="36" t="n"/>
      <c r="G8" s="37" t="n"/>
      <c r="H8" s="4" t="n"/>
      <c r="I8" s="21" t="inlineStr">
        <is>
          <t xml:space="preserve">Hinweise zur Bedarfsforderung </t>
        </is>
      </c>
      <c r="N8">
        <f>COLUMN(B8)</f>
        <v/>
      </c>
    </row>
    <row r="9" ht="20.1" customHeight="1" thickBot="1">
      <c r="A9" s="41" t="inlineStr">
        <is>
          <t>Wie wurde der Bedarf bisher gedeckt?</t>
        </is>
      </c>
      <c r="B9" s="80" t="n"/>
      <c r="C9" s="80" t="n"/>
      <c r="D9" s="80" t="n"/>
      <c r="E9" s="80" t="n"/>
      <c r="F9" s="89" t="inlineStr">
        <is>
          <t>Bitte Beschreibungen ergänzen (s. u.).</t>
        </is>
      </c>
      <c r="G9" s="81" t="n"/>
      <c r="H9" s="4" t="n"/>
      <c r="I9" s="20" t="n"/>
    </row>
    <row r="10">
      <c r="A10" s="13" t="inlineStr">
        <is>
          <t xml:space="preserve"> </t>
        </is>
      </c>
      <c r="B10" s="90" t="inlineStr">
        <is>
          <t>Kauf der benötigten Güter.</t>
        </is>
      </c>
      <c r="C10" s="91" t="n"/>
      <c r="D10" s="91" t="n"/>
      <c r="E10" s="92" t="n"/>
      <c r="F10" s="17" t="n"/>
      <c r="G10" s="18" t="n"/>
      <c r="H10" s="4" t="n"/>
      <c r="I10" s="20" t="n"/>
      <c r="N10">
        <f>COLUMN(F10)</f>
        <v/>
      </c>
    </row>
    <row r="11">
      <c r="A11" s="14" t="inlineStr">
        <is>
          <t>X</t>
        </is>
      </c>
      <c r="B11" s="58" t="inlineStr">
        <is>
          <t>Bedarf ist neu entstanden.</t>
        </is>
      </c>
      <c r="C11" s="93" t="n"/>
      <c r="D11" s="93" t="n"/>
      <c r="E11" s="94" t="n"/>
      <c r="F11" s="28" t="n"/>
      <c r="G11" s="29" t="n"/>
      <c r="H11" s="4" t="n"/>
      <c r="I11" s="20" t="n"/>
      <c r="N11">
        <f>COLUMN(F11)</f>
        <v/>
      </c>
    </row>
    <row r="12" ht="15" customHeight="1" thickBot="1">
      <c r="A12" s="14" t="inlineStr">
        <is>
          <t xml:space="preserve"> </t>
        </is>
      </c>
      <c r="B12" s="58" t="inlineStr">
        <is>
          <t>Sonstiges:</t>
        </is>
      </c>
      <c r="C12" s="93" t="n"/>
      <c r="D12" s="93" t="n"/>
      <c r="E12" s="94" t="n"/>
      <c r="F12" s="15" t="n"/>
      <c r="G12" s="16" t="n"/>
      <c r="H12" s="4" t="n"/>
      <c r="I12" s="20" t="n"/>
      <c r="N12">
        <f>COLUMN(F12)</f>
        <v/>
      </c>
    </row>
    <row r="13" ht="20.1" customHeight="1" thickBot="1">
      <c r="A13" s="95" t="inlineStr">
        <is>
          <t>Der Bedarf kann nicht durch Eigenleistung gedeckt werden, weil</t>
        </is>
      </c>
      <c r="B13" s="80" t="n"/>
      <c r="C13" s="80" t="n"/>
      <c r="D13" s="80" t="n"/>
      <c r="E13" s="80" t="n"/>
      <c r="F13" s="80" t="n"/>
      <c r="G13" s="81" t="n"/>
      <c r="H13" s="4" t="n"/>
      <c r="I13" s="20" t="n"/>
    </row>
    <row r="14" ht="30" customHeight="1">
      <c r="A14" s="13" t="inlineStr">
        <is>
          <t xml:space="preserve"> </t>
        </is>
      </c>
      <c r="B14" s="74" t="inlineStr">
        <is>
          <t>der Bedarf ein Verbrauchsgut umfasst, welches innerhalb der Bundeswehr nicht vorhanden ist.</t>
        </is>
      </c>
      <c r="C14" s="96" t="n"/>
      <c r="D14" s="96" t="n"/>
      <c r="E14" s="97" t="n"/>
      <c r="F14" s="17" t="n"/>
      <c r="G14" s="18" t="n"/>
      <c r="H14" s="4" t="n"/>
      <c r="I14" s="27" t="inlineStr">
        <is>
          <t>Hinweis zu nicht in der Bw vorhandenen 
Verbauchsgütern</t>
        </is>
      </c>
      <c r="N14">
        <f>COLUMN(A14)</f>
        <v/>
      </c>
    </row>
    <row r="15" ht="60" customHeight="1" thickBot="1">
      <c r="A15" s="14" t="inlineStr">
        <is>
          <t>X</t>
        </is>
      </c>
      <c r="B15" s="58" t="inlineStr">
        <is>
          <t>Sonstiges:</t>
        </is>
      </c>
      <c r="C15" s="93" t="n"/>
      <c r="D15" s="93" t="n"/>
      <c r="E15" s="94" t="n"/>
      <c r="F15" s="15" t="inlineStr">
        <is>
          <t>Werkzeug muss eigenständig verfügbar sein</t>
        </is>
      </c>
      <c r="G15" s="19" t="n"/>
      <c r="H15" s="4" t="n"/>
      <c r="I15" s="20" t="n"/>
      <c r="N15">
        <f>COLUMN(F15)</f>
        <v/>
      </c>
    </row>
    <row r="16" ht="20.1" customHeight="1" thickBot="1">
      <c r="A16" s="95" t="inlineStr">
        <is>
          <t>Der Bedarf kann nicht durch Miete, Leasing oder Dienstleistung gedeckt werden, weil</t>
        </is>
      </c>
      <c r="B16" s="80" t="n"/>
      <c r="C16" s="80" t="n"/>
      <c r="D16" s="80" t="n"/>
      <c r="E16" s="80" t="n"/>
      <c r="F16" s="80" t="n"/>
      <c r="G16" s="81" t="n"/>
      <c r="H16" s="4" t="n"/>
      <c r="I16" s="20" t="n"/>
    </row>
    <row r="17">
      <c r="A17" s="13" t="inlineStr">
        <is>
          <t xml:space="preserve"> </t>
        </is>
      </c>
      <c r="B17" s="74" t="inlineStr">
        <is>
          <t>der Bedarf ein Verbrauchsgut umfasst.</t>
        </is>
      </c>
      <c r="C17" s="96" t="n"/>
      <c r="D17" s="96" t="n"/>
      <c r="E17" s="97" t="n"/>
      <c r="F17" s="17" t="n"/>
      <c r="G17" s="18" t="n"/>
      <c r="H17" s="4" t="n"/>
      <c r="I17" s="20" t="n"/>
      <c r="N17">
        <f>COLUMN(A17)</f>
        <v/>
      </c>
    </row>
    <row r="18">
      <c r="A18" s="14" t="inlineStr">
        <is>
          <t xml:space="preserve"> </t>
        </is>
      </c>
      <c r="B18" s="58" t="inlineStr">
        <is>
          <t>hierfür kein Anbieter gefunden werden konnte.</t>
        </is>
      </c>
      <c r="C18" s="93" t="n"/>
      <c r="D18" s="93" t="n"/>
      <c r="E18" s="94" t="n"/>
      <c r="F18" s="28" t="n"/>
      <c r="G18" s="29" t="n"/>
      <c r="H18" s="4" t="n"/>
      <c r="I18" s="20" t="n"/>
      <c r="N18">
        <f>COLUMN(F18)</f>
        <v/>
      </c>
    </row>
    <row r="19" ht="60" customHeight="1" thickBot="1">
      <c r="A19" s="14" t="inlineStr">
        <is>
          <t>X</t>
        </is>
      </c>
      <c r="B19" s="58" t="inlineStr">
        <is>
          <t>Sonstiges:</t>
        </is>
      </c>
      <c r="C19" s="93" t="n"/>
      <c r="D19" s="93" t="n"/>
      <c r="E19" s="94" t="n"/>
      <c r="F19" s="15" t="inlineStr">
        <is>
          <t>Wartungsarbeiten erfordern sofortige Verfügbarkeit</t>
        </is>
      </c>
      <c r="G19" s="16" t="n"/>
      <c r="H19" s="4" t="n"/>
      <c r="I19" s="20" t="n"/>
      <c r="N19">
        <f>COLUMN(F19)</f>
        <v/>
      </c>
    </row>
    <row r="20" ht="20.1" customHeight="1" thickBot="1">
      <c r="A20" s="95" t="inlineStr">
        <is>
          <t>Der Bedarf ist ausschließlich unterjährig, weil</t>
        </is>
      </c>
      <c r="B20" s="80" t="n"/>
      <c r="C20" s="80" t="n"/>
      <c r="D20" s="80" t="n"/>
      <c r="E20" s="80" t="n"/>
      <c r="F20" s="80" t="n"/>
      <c r="G20" s="81" t="n"/>
      <c r="H20" s="4" t="n"/>
      <c r="I20" s="21" t="inlineStr">
        <is>
          <t>Beispiele für Folgeausgaben</t>
        </is>
      </c>
    </row>
    <row r="21" ht="15" customHeight="1" thickBot="1">
      <c r="A21" s="23" t="n"/>
      <c r="B21" s="26" t="inlineStr">
        <is>
          <t>X</t>
        </is>
      </c>
      <c r="C21" s="25" t="inlineStr">
        <is>
          <t>Folgeausgaben</t>
        </is>
      </c>
      <c r="D21" s="22" t="inlineStr">
        <is>
          <t>anfallen.</t>
        </is>
      </c>
      <c r="E21" s="24" t="n"/>
      <c r="F21" s="70" t="n"/>
      <c r="G21" s="98" t="n"/>
      <c r="H21" s="4" t="n"/>
      <c r="I21" s="20" t="n"/>
    </row>
    <row r="22" ht="30" customHeight="1" thickBot="1">
      <c r="A22" s="99" t="inlineStr">
        <is>
          <t>Nach Ausschluss der Optionen, die nicht bedarfsdeckend sind, verbleibt als einzige Option ein Kauf mit voraussichtlichen Ausgaben in Höhe von insgesamt:</t>
        </is>
      </c>
      <c r="B22" s="80" t="n"/>
      <c r="C22" s="80" t="n"/>
      <c r="D22" s="80" t="n"/>
      <c r="E22" s="81" t="n"/>
      <c r="F22" s="30" t="n">
        <v>189.5</v>
      </c>
      <c r="G22" s="31">
        <f>IF(F22&gt;0,F22*-1,"")</f>
        <v/>
      </c>
      <c r="H22" s="4" t="n"/>
      <c r="I22" s="20" t="n"/>
      <c r="N22">
        <f>COLUMN(F22)</f>
        <v/>
      </c>
    </row>
  </sheetData>
  <mergeCells count="24">
    <mergeCell ref="F4:G4"/>
    <mergeCell ref="A20:G20"/>
    <mergeCell ref="B15:E15"/>
    <mergeCell ref="F7:G7"/>
    <mergeCell ref="F21:G21"/>
    <mergeCell ref="A13:G13"/>
    <mergeCell ref="B18:E18"/>
    <mergeCell ref="A1:G1"/>
    <mergeCell ref="B12:E12"/>
    <mergeCell ref="A16:G16"/>
    <mergeCell ref="B11:E11"/>
    <mergeCell ref="A22:E22"/>
    <mergeCell ref="F9:G9"/>
    <mergeCell ref="B14:E14"/>
    <mergeCell ref="B17:E17"/>
    <mergeCell ref="A4:E4"/>
    <mergeCell ref="B8:E8"/>
    <mergeCell ref="E5:G5"/>
    <mergeCell ref="B5:C5"/>
    <mergeCell ref="A3:G3"/>
    <mergeCell ref="A2:G2"/>
    <mergeCell ref="B19:E19"/>
    <mergeCell ref="B10:E10"/>
    <mergeCell ref="A9:E9"/>
  </mergeCells>
  <conditionalFormatting sqref="B6:D6">
    <cfRule type="expression" priority="14" dxfId="8">
      <formula>$B$6&lt;&gt;""</formula>
    </cfRule>
  </conditionalFormatting>
  <conditionalFormatting sqref="F6:G6">
    <cfRule type="expression" priority="12" dxfId="8">
      <formula>$F$6&lt;&gt;""</formula>
    </cfRule>
  </conditionalFormatting>
  <conditionalFormatting sqref="F17">
    <cfRule type="expression" priority="11" dxfId="3">
      <formula>$F$17&lt;&gt;""</formula>
    </cfRule>
  </conditionalFormatting>
  <conditionalFormatting sqref="F18">
    <cfRule type="expression" priority="10" dxfId="4">
      <formula>$F$18&lt;&gt;""</formula>
    </cfRule>
  </conditionalFormatting>
  <conditionalFormatting sqref="F10">
    <cfRule type="expression" priority="7" dxfId="4">
      <formula>$F$17&lt;&gt;""</formula>
    </cfRule>
  </conditionalFormatting>
  <conditionalFormatting sqref="F11">
    <cfRule type="expression" priority="6" dxfId="4">
      <formula>$F$18&lt;&gt;""</formula>
    </cfRule>
  </conditionalFormatting>
  <conditionalFormatting sqref="F14">
    <cfRule type="expression" priority="4" dxfId="3">
      <formula>$F$17&lt;&gt;""</formula>
    </cfRule>
  </conditionalFormatting>
  <conditionalFormatting sqref="B8">
    <cfRule type="expression" priority="3" dxfId="0">
      <formula>$B$8&lt;&gt;""</formula>
    </cfRule>
  </conditionalFormatting>
  <conditionalFormatting sqref="F22">
    <cfRule type="cellIs" priority="2" operator="greaterThan" dxfId="1">
      <formula>0</formula>
    </cfRule>
  </conditionalFormatting>
  <conditionalFormatting sqref="G22">
    <cfRule type="expression" priority="1" dxfId="0">
      <formula>$G$22&lt;0</formula>
    </cfRule>
  </conditionalFormatting>
  <dataValidations count="1">
    <dataValidation sqref="F19" showDropDown="0" showInputMessage="1" showErrorMessage="1" allowBlank="1" type="custom">
      <formula1>IF(K19="WAHR",F19&lt;&gt;"","+G19")</formula1>
    </dataValidation>
  </dataValidations>
  <hyperlinks>
    <hyperlink xmlns:r="http://schemas.openxmlformats.org/officeDocument/2006/relationships" ref="C21" location="Glossar-E" r:id="rId1"/>
  </hyperlinks>
  <pageMargins left="0.7" right="0.7" top="0.787401575" bottom="0.787401575" header="0.3" footer="0.3"/>
  <pageSetup orientation="portrait" paperSize="9" scale="92" horizontalDpi="90" verticalDpi="90"/>
  <colBreaks count="1" manualBreakCount="1">
    <brk id="7" min="0" max="1048575" man="1"/>
  </colBreaks>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D5"/>
  <sheetViews>
    <sheetView workbookViewId="0">
      <selection activeCell="L42" sqref="L42"/>
    </sheetView>
  </sheetViews>
  <sheetFormatPr baseColWidth="10" defaultRowHeight="14.4"/>
  <cols>
    <col width="40" customWidth="1" min="1" max="1"/>
    <col width="15" customWidth="1" min="2" max="2"/>
    <col width="25" customWidth="1" min="3" max="3"/>
    <col width="35" customWidth="1" min="4" max="4"/>
  </cols>
  <sheetData>
    <row r="1">
      <c r="A1" s="100" t="inlineStr">
        <is>
          <t>ANLAGEN: Quellenangaben</t>
        </is>
      </c>
    </row>
    <row r="3">
      <c r="A3" s="101" t="inlineStr">
        <is>
          <t>Quelle</t>
        </is>
      </c>
      <c r="B3" s="101" t="inlineStr">
        <is>
          <t>Datum</t>
        </is>
      </c>
      <c r="C3" s="101" t="inlineStr">
        <is>
          <t>Ergebnis</t>
        </is>
      </c>
      <c r="D3" s="101" t="inlineStr">
        <is>
          <t>Bemerkung</t>
        </is>
      </c>
    </row>
    <row r="4">
      <c r="A4" s="102" t="inlineStr">
        <is>
          <t>Scheppach: Akku-Bohrschrauber BC-DD60-X</t>
        </is>
      </c>
      <c r="B4" s="103" t="inlineStr">
        <is>
          <t>23.04.2026</t>
        </is>
      </c>
      <c r="C4" s="104" t="inlineStr">
        <is>
          <t>ab 189,50 EUR</t>
        </is>
      </c>
      <c r="D4" s="104" t="inlineStr">
        <is>
          <t>60 Nm Drehmoment, Brushless</t>
        </is>
      </c>
    </row>
    <row r="5">
      <c r="A5" s="102" t="inlineStr">
        <is>
          <t>Wall Baumaschinen: Akkubohrschrauber Tagesmiete</t>
        </is>
      </c>
      <c r="B5" s="104" t="inlineStr">
        <is>
          <t>23.04.2026</t>
        </is>
      </c>
      <c r="C5" s="104" t="inlineStr">
        <is>
          <t>12,50 EUR/Tag (netto)</t>
        </is>
      </c>
      <c r="D5" s="104" t="inlineStr">
        <is>
          <t>Break-even: 15 Tage</t>
        </is>
      </c>
    </row>
  </sheetData>
  <mergeCells count="1">
    <mergeCell ref="A1:D1"/>
  </mergeCells>
  <hyperlinks>
    <hyperlink xmlns:r="http://schemas.openxmlformats.org/officeDocument/2006/relationships" ref="A4" r:id="rId1"/>
    <hyperlink xmlns:r="http://schemas.openxmlformats.org/officeDocument/2006/relationships" ref="A5" r:id="rId2"/>
  </hyperlinks>
  <pageMargins left="0.7" right="0.7" top="0.787401575" bottom="0.787401575" header="0.3" footer="0.3"/>
  <pageSetup orientation="portrait" paperSize="9" horizontalDpi="90" verticalDpi="90"/>
</worksheet>
</file>

<file path=xl/worksheets/sheet3.xml><?xml version="1.0" encoding="utf-8"?>
<worksheet xmlns="http://schemas.openxmlformats.org/spreadsheetml/2006/main">
  <sheetPr codeName="Tabelle2">
    <outlinePr summaryBelow="1" summaryRight="1"/>
    <pageSetUpPr/>
  </sheetPr>
  <dimension ref="A40:A41"/>
  <sheetViews>
    <sheetView topLeftCell="A40" workbookViewId="0">
      <selection activeCell="A41" sqref="A41"/>
    </sheetView>
  </sheetViews>
  <sheetFormatPr baseColWidth="10" defaultColWidth="0" defaultRowHeight="14.4" zeroHeight="1"/>
  <cols>
    <col width="18" bestFit="1" customWidth="1" min="1" max="1"/>
    <col hidden="1" width="11.44140625" customWidth="1" min="2" max="16384"/>
  </cols>
  <sheetData>
    <row r="40">
      <c r="A40" s="1" t="inlineStr">
        <is>
          <t>Zellsprungfunktion</t>
        </is>
      </c>
    </row>
    <row r="41">
      <c r="A41" s="2" t="inlineStr">
        <is>
          <t>Ein</t>
        </is>
      </c>
    </row>
  </sheetData>
  <dataValidations count="1">
    <dataValidation sqref="A41" showDropDown="0" showInputMessage="1" showErrorMessage="1" allowBlank="1" type="list">
      <formula1>"Ein, Aus"</formula1>
    </dataValidation>
  </dataValidations>
  <pageMargins left="0.7" right="0.7" top="0.787401575" bottom="0.7874015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2024-12-03T09:54:01Z</dcterms:created>
  <dcterms:modified xmlns:dcterms="http://purl.org/dc/terms/" xmlns:xsi="http://www.w3.org/2001/XMLSchema-instance" xsi:type="dcterms:W3CDTF">2026-04-23T13:24:38Z</dcterms:modified>
  <cp:lastModifiedBy>Philipp Lukas</cp:lastModifiedBy>
  <cp:lastPrinted>2025-01-13T15:20:33Z</cp:lastPrinted>
</cp:coreProperties>
</file>