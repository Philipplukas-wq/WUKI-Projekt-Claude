
<file path=[Content_Types].xml><?xml version="1.0" encoding="utf-8"?>
<Types xmlns="http://schemas.openxmlformats.org/package/2006/content-types">
  <Default Extension="rels" ContentType="application/vnd.openxmlformats-package.relationships+xml"/>
  <Default Extension="xml" ContentType="application/xml"/>
  <Default Extension="emf" ContentType="image/x-emf"/>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tKdzX4x2mbZAExj5822gC0FNIUkr1eQHnfXq0LMhp+olYDMBzMeykMyDN9KMfQX4boistdWnaY2XjuC/BadOTQ==" workbookSaltValue="XUlvsMNkuAuDMcN4//kQ4g=="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sheetId="1" state="visible" r:id="rId1"/>
    <sheet xmlns:r="http://schemas.openxmlformats.org/officeDocument/2006/relationships" name="Anlagen" sheetId="2" state="visible" r:id="rId2"/>
    <sheet xmlns:r="http://schemas.openxmlformats.org/officeDocument/2006/relationships" name="Hilfstabelle" sheetId="3" state="hidden" r:id="rId3"/>
    <sheet xmlns:r="http://schemas.openxmlformats.org/officeDocument/2006/relationships" name="Anlage - Marktrecherche" sheetId="4" state="visible" r:id="rId4"/>
  </sheets>
  <definedNames>
    <definedName name="_xlnm.Print_Area" localSheetId="0">'WU'!$A$1:$G$117</definedName>
  </definedNames>
  <calcPr calcId="191029" fullCalcOnLoad="1"/>
</workbook>
</file>

<file path=xl/styles.xml><?xml version="1.0" encoding="utf-8"?>
<styleSheet xmlns="http://schemas.openxmlformats.org/spreadsheetml/2006/main">
  <numFmts count="5">
    <numFmt numFmtId="164" formatCode="0.0"/>
    <numFmt numFmtId="165" formatCode="#,##0.00\ &quot;€&quot;"/>
    <numFmt numFmtId="166" formatCode="#,##0\ _€"/>
    <numFmt numFmtId="167" formatCode="_-* #,##0.00_-;\-* #,##0.00_-;_-* &quot;-&quot;??_-;_-@_-"/>
    <numFmt numFmtId="168" formatCode="_(&quot;€&quot;* #,##0.00_);_(&quot;€&quot;* \(#,##0.00\);_(&quot;€&quot;* &quot;-&quot;??_);_(@_)"/>
  </numFmts>
  <fonts count="37">
    <font>
      <name val="Calibri"/>
      <family val="2"/>
      <color theme="1"/>
      <sz val="11"/>
      <scheme val="minor"/>
    </font>
    <font>
      <name val="Calibri"/>
      <family val="2"/>
      <color theme="1"/>
      <sz val="11"/>
      <scheme val="minor"/>
    </font>
    <font>
      <name val="Arial"/>
      <family val="2"/>
      <color theme="1"/>
      <sz val="9"/>
    </font>
    <font>
      <name val="Calibri"/>
      <family val="2"/>
      <sz val="11"/>
      <scheme val="minor"/>
    </font>
    <font>
      <name val="Arial"/>
      <family val="2"/>
      <b val="1"/>
      <color theme="0"/>
      <sz val="9"/>
    </font>
    <font>
      <name val="Calibri"/>
      <family val="2"/>
      <b val="1"/>
      <color theme="1"/>
      <sz val="11"/>
      <scheme val="minor"/>
    </font>
    <font>
      <name val="BundesSans Regular"/>
      <family val="2"/>
      <b val="1"/>
      <color theme="0"/>
      <sz val="9"/>
    </font>
    <font>
      <name val="BundesSans Regular"/>
      <family val="2"/>
      <color theme="1"/>
      <sz val="11"/>
    </font>
    <font>
      <name val="BundesSans Office"/>
      <family val="2"/>
      <color theme="1"/>
      <sz val="9"/>
    </font>
    <font>
      <name val="BundesSans Office"/>
      <family val="2"/>
      <b val="1"/>
      <color theme="0"/>
      <sz val="9"/>
    </font>
    <font>
      <name val="BundesSans Office"/>
      <family val="2"/>
      <b val="1"/>
      <color theme="1"/>
      <sz val="11"/>
    </font>
    <font>
      <name val="BundesSans Office"/>
      <family val="2"/>
      <b val="1"/>
      <color theme="1"/>
      <sz val="8"/>
    </font>
    <font>
      <name val="BundesSans Office"/>
      <family val="2"/>
      <color indexed="8"/>
      <sz val="8"/>
    </font>
    <font>
      <name val="BundesSans Office"/>
      <family val="2"/>
      <b val="1"/>
      <color theme="1"/>
      <sz val="9"/>
    </font>
    <font>
      <name val="BundesSans Office"/>
      <family val="2"/>
      <b val="1"/>
      <i val="1"/>
      <color indexed="8"/>
      <sz val="9"/>
    </font>
    <font>
      <name val="BundesSans Office"/>
      <family val="2"/>
      <color indexed="8"/>
      <sz val="9"/>
    </font>
    <font>
      <name val="BundesSans Office"/>
      <family val="2"/>
      <color indexed="9"/>
      <sz val="9"/>
    </font>
    <font>
      <name val="BundesSans Office"/>
      <family val="2"/>
      <color theme="0"/>
      <sz val="9"/>
    </font>
    <font>
      <name val="BundesSans Office"/>
      <family val="2"/>
      <b val="1"/>
      <color theme="0"/>
      <sz val="6"/>
    </font>
    <font>
      <name val="BundesSans Office"/>
      <family val="2"/>
      <b val="1"/>
      <i val="1"/>
      <color theme="1"/>
      <sz val="9"/>
    </font>
    <font>
      <name val="BundesSans Office"/>
      <family val="2"/>
      <i val="1"/>
      <color theme="1"/>
      <sz val="9"/>
    </font>
    <font>
      <name val="BundesSans Office"/>
      <family val="2"/>
      <b val="1"/>
      <sz val="9"/>
    </font>
    <font>
      <name val="BundesSans Office"/>
      <family val="2"/>
      <sz val="9"/>
    </font>
    <font>
      <name val="BundesSans Office"/>
      <family val="2"/>
      <i val="1"/>
      <color indexed="8"/>
      <sz val="9"/>
    </font>
    <font>
      <name val="BundesSans Office"/>
      <family val="2"/>
      <sz val="8"/>
    </font>
    <font>
      <name val="BundesSans Office"/>
      <family val="2"/>
      <i val="1"/>
      <color theme="0" tint="-0.499984740745262"/>
      <sz val="8"/>
    </font>
    <font>
      <name val="BundesSans Office"/>
      <family val="2"/>
      <b val="1"/>
      <color indexed="8"/>
      <sz val="9"/>
    </font>
    <font>
      <name val="BundesSans Office"/>
      <family val="2"/>
      <i val="1"/>
      <color theme="1"/>
      <sz val="9"/>
      <u val="single"/>
    </font>
    <font>
      <name val="Arial Narrow"/>
      <family val="2"/>
      <color theme="1"/>
      <sz val="7"/>
    </font>
    <font>
      <name val="Arial"/>
      <family val="2"/>
      <color theme="1"/>
      <sz val="10"/>
    </font>
    <font>
      <name val="BundesSans Office"/>
      <family val="2"/>
      <b val="1"/>
      <i val="1"/>
      <sz val="9"/>
    </font>
    <font>
      <name val="BundesSans Office"/>
      <family val="2"/>
      <b val="1"/>
      <i val="1"/>
      <sz val="8"/>
    </font>
    <font>
      <name val="BundesSans Office"/>
      <family val="2"/>
      <b val="1"/>
      <color rgb="FFFF0000"/>
      <sz val="9"/>
    </font>
    <font>
      <name val="Arial Narrow"/>
      <family val="2"/>
      <color theme="1"/>
      <sz val="7"/>
      <u val="single"/>
    </font>
    <font>
      <b val="1"/>
      <color rgb="001F3864"/>
      <sz val="12"/>
    </font>
    <font>
      <b val="1"/>
      <color rgb="00FFFFFF"/>
      <sz val="10"/>
    </font>
    <font>
      <i val="1"/>
      <color rgb="00595959"/>
      <sz val="9"/>
    </font>
  </fonts>
  <fills count="9">
    <fill>
      <patternFill/>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rgb="FFFFFFB7"/>
        <bgColor indexed="64"/>
      </patternFill>
    </fill>
    <fill>
      <patternFill patternType="solid">
        <fgColor theme="3" tint="0.7999816888943144"/>
        <bgColor indexed="64"/>
      </patternFill>
    </fill>
    <fill>
      <patternFill patternType="solid">
        <fgColor theme="9" tint="0.5999938962981048"/>
        <bgColor indexed="64"/>
      </patternFill>
    </fill>
    <fill>
      <patternFill patternType="solid">
        <fgColor rgb="001F3864"/>
        <bgColor rgb="001F3864"/>
      </patternFill>
    </fill>
  </fills>
  <borders count="45">
    <border>
      <left/>
      <right/>
      <top/>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thin"/>
      <right style="thin"/>
      <top style="thin"/>
      <bottom style="thin"/>
    </border>
  </borders>
  <cellStyleXfs count="4">
    <xf numFmtId="0" fontId="1" fillId="0" borderId="0"/>
    <xf numFmtId="168" fontId="1" fillId="0" borderId="0"/>
    <xf numFmtId="9" fontId="1" fillId="0" borderId="0"/>
    <xf numFmtId="43" fontId="1" fillId="0" borderId="0"/>
  </cellStyleXfs>
  <cellXfs count="277">
    <xf numFmtId="0" fontId="0" fillId="0" borderId="0" pivotButton="0" quotePrefix="0" xfId="0"/>
    <xf numFmtId="0" fontId="0" fillId="0" borderId="0" applyAlignment="1" pivotButton="0" quotePrefix="0" xfId="0">
      <alignment horizontal="left"/>
    </xf>
    <xf numFmtId="0" fontId="0" fillId="0" borderId="0" applyAlignment="1" pivotButton="0" quotePrefix="0" xfId="0">
      <alignment horizontal="right"/>
    </xf>
    <xf numFmtId="164" fontId="0" fillId="0" borderId="0" applyAlignment="1" pivotButton="0" quotePrefix="1" xfId="0">
      <alignment horizontal="right"/>
    </xf>
    <xf numFmtId="1" fontId="0"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wrapText="1"/>
    </xf>
    <xf numFmtId="0" fontId="2" fillId="0" borderId="0" applyAlignment="1" applyProtection="1" pivotButton="0" quotePrefix="0" xfId="0">
      <alignment vertical="center" wrapText="1"/>
      <protection locked="0" hidden="0"/>
    </xf>
    <xf numFmtId="0" fontId="2" fillId="0" borderId="0" applyAlignment="1" pivotButton="0" quotePrefix="0" xfId="0">
      <alignment vertical="center" wrapText="1"/>
    </xf>
    <xf numFmtId="0" fontId="3" fillId="0" borderId="0" pivotButton="0" quotePrefix="0" xfId="0"/>
    <xf numFmtId="0" fontId="5" fillId="0" borderId="0" pivotButton="0" quotePrefix="0" xfId="0"/>
    <xf numFmtId="0" fontId="0" fillId="4" borderId="0" pivotButton="0" quotePrefix="0" xfId="0"/>
    <xf numFmtId="0" fontId="0" fillId="0" borderId="0" pivotButton="0" quotePrefix="0" xfId="0"/>
    <xf numFmtId="165" fontId="4" fillId="0" borderId="0" applyAlignment="1" pivotButton="0" quotePrefix="0" xfId="0">
      <alignment vertical="center"/>
    </xf>
    <xf numFmtId="165" fontId="6" fillId="3" borderId="0" applyAlignment="1" pivotButton="0" quotePrefix="0" xfId="0">
      <alignment vertical="center"/>
    </xf>
    <xf numFmtId="0" fontId="7" fillId="3" borderId="0" pivotButton="0" quotePrefix="0" xfId="0"/>
    <xf numFmtId="165" fontId="9" fillId="3" borderId="0" applyAlignment="1" pivotButton="0" quotePrefix="0" xfId="0">
      <alignment vertical="center"/>
    </xf>
    <xf numFmtId="0" fontId="8" fillId="2" borderId="1" applyAlignment="1" applyProtection="1" pivotButton="0" quotePrefix="0" xfId="0">
      <alignment horizontal="centerContinuous" vertical="center" wrapText="1"/>
      <protection locked="0" hidden="0"/>
    </xf>
    <xf numFmtId="0" fontId="8" fillId="3" borderId="3" applyAlignment="1" applyProtection="1" pivotButton="0" quotePrefix="0" xfId="0">
      <alignment horizontal="centerContinuous" vertical="center" wrapText="1"/>
      <protection locked="0" hidden="0"/>
    </xf>
    <xf numFmtId="14" fontId="8" fillId="2" borderId="5" applyAlignment="1" applyProtection="1" pivotButton="0" quotePrefix="0" xfId="0">
      <alignment horizontal="centerContinuous" vertical="center" wrapText="1"/>
      <protection locked="0" hidden="0"/>
    </xf>
    <xf numFmtId="0" fontId="8" fillId="3" borderId="4" applyAlignment="1" applyProtection="1" pivotButton="0" quotePrefix="0" xfId="0">
      <alignment horizontal="center" vertical="center" wrapText="1"/>
      <protection locked="0" hidden="0"/>
    </xf>
    <xf numFmtId="14" fontId="8" fillId="2" borderId="1" applyAlignment="1" applyProtection="1" pivotButton="0" quotePrefix="0" xfId="0">
      <alignment horizontal="centerContinuous" vertical="center" wrapText="1"/>
      <protection locked="0" hidden="0"/>
    </xf>
    <xf numFmtId="0" fontId="8" fillId="3" borderId="5" applyAlignment="1" applyProtection="1" pivotButton="0" quotePrefix="0" xfId="0">
      <alignment vertical="center" wrapText="1"/>
      <protection locked="0" hidden="0"/>
    </xf>
    <xf numFmtId="0" fontId="8" fillId="3" borderId="4" applyAlignment="1" pivotButton="0" quotePrefix="0" xfId="0">
      <alignment horizontal="centerContinuous" vertical="center" wrapText="1"/>
    </xf>
    <xf numFmtId="0" fontId="8" fillId="3" borderId="3" applyAlignment="1" pivotButton="0" quotePrefix="0" xfId="0">
      <alignment horizontal="centerContinuous" vertical="center" wrapText="1"/>
    </xf>
    <xf numFmtId="0" fontId="8" fillId="3" borderId="1" applyAlignment="1" pivotButton="0" quotePrefix="0" xfId="0">
      <alignment horizontal="centerContinuous" vertical="center" wrapText="1"/>
    </xf>
    <xf numFmtId="0" fontId="8" fillId="2" borderId="1" applyAlignment="1" pivotButton="0" quotePrefix="0" xfId="0">
      <alignment horizontal="centerContinuous" vertical="center" wrapText="1"/>
    </xf>
    <xf numFmtId="0" fontId="8" fillId="3" borderId="7" applyAlignment="1" applyProtection="1" pivotButton="0" quotePrefix="0" xfId="0">
      <alignment horizontal="center" vertical="center" wrapText="1"/>
      <protection locked="0" hidden="0"/>
    </xf>
    <xf numFmtId="0" fontId="8" fillId="2" borderId="25" applyAlignment="1" pivotButton="0" quotePrefix="0" xfId="0">
      <alignment horizontal="centerContinuous" vertical="center" wrapText="1"/>
    </xf>
    <xf numFmtId="0" fontId="8" fillId="3" borderId="25" applyAlignment="1" pivotButton="0" quotePrefix="0" xfId="0">
      <alignment horizontal="centerContinuous" vertical="center" wrapText="1"/>
    </xf>
    <xf numFmtId="0" fontId="8" fillId="3" borderId="26" applyAlignment="1" pivotButton="0" quotePrefix="0" xfId="0">
      <alignment horizontal="centerContinuous" vertical="center" wrapText="1"/>
    </xf>
    <xf numFmtId="0" fontId="8" fillId="3" borderId="5" applyAlignment="1" applyProtection="1" pivotButton="0" quotePrefix="0" xfId="0">
      <alignment horizontal="center" vertical="center" wrapText="1"/>
      <protection locked="0" hidden="0"/>
    </xf>
    <xf numFmtId="0" fontId="8" fillId="3" borderId="5" applyAlignment="1" pivotButton="0" quotePrefix="0" xfId="0">
      <alignment horizontal="center" vertical="center" wrapText="1"/>
    </xf>
    <xf numFmtId="0" fontId="8" fillId="0" borderId="3" applyAlignment="1" pivotButton="0" quotePrefix="0" xfId="0">
      <alignment horizontal="centerContinuous" vertical="center" wrapText="1"/>
    </xf>
    <xf numFmtId="0" fontId="13" fillId="3" borderId="7" applyAlignment="1" pivotButton="0" quotePrefix="0" xfId="0">
      <alignment horizontal="right" vertical="center" wrapText="1"/>
    </xf>
    <xf numFmtId="0" fontId="13" fillId="3" borderId="6" applyAlignment="1" pivotButton="0" quotePrefix="0" xfId="0">
      <alignment horizontal="left" vertical="center" wrapText="1"/>
    </xf>
    <xf numFmtId="1" fontId="13" fillId="3" borderId="6" applyAlignment="1" pivotButton="0" quotePrefix="1" xfId="0">
      <alignment horizontal="left" vertical="center" wrapText="1"/>
    </xf>
    <xf numFmtId="0" fontId="8" fillId="2" borderId="4" applyAlignment="1" pivotButton="0" quotePrefix="0" xfId="0">
      <alignment horizontal="centerContinuous" vertical="center" wrapText="1"/>
    </xf>
    <xf numFmtId="0" fontId="13" fillId="3" borderId="1" applyAlignment="1" pivotButton="0" quotePrefix="0" xfId="0">
      <alignment vertical="center" wrapText="1"/>
    </xf>
    <xf numFmtId="0" fontId="13" fillId="3" borderId="4" applyAlignment="1" pivotButton="0" quotePrefix="0" xfId="0">
      <alignment vertical="center" wrapText="1"/>
    </xf>
    <xf numFmtId="0" fontId="19" fillId="3" borderId="5" applyAlignment="1" pivotButton="0" quotePrefix="0" xfId="0">
      <alignment horizontal="center" vertical="center" wrapText="1"/>
    </xf>
    <xf numFmtId="0" fontId="13" fillId="3" borderId="3" applyAlignment="1" pivotButton="0" quotePrefix="0" xfId="0">
      <alignment horizontal="center" vertical="center" wrapText="1"/>
    </xf>
    <xf numFmtId="0" fontId="13" fillId="3" borderId="8" applyAlignment="1" applyProtection="1" pivotButton="0" quotePrefix="0" xfId="0">
      <alignment horizontal="left" wrapText="1"/>
      <protection locked="0" hidden="0"/>
    </xf>
    <xf numFmtId="0" fontId="20" fillId="3" borderId="28" applyAlignment="1" pivotButton="0" quotePrefix="0" xfId="0">
      <alignment horizontal="centerContinuous" vertical="center" wrapText="1"/>
    </xf>
    <xf numFmtId="0" fontId="21" fillId="3" borderId="10" applyAlignment="1" pivotButton="0" quotePrefix="0" xfId="0">
      <alignment horizontal="center" vertical="center" wrapText="1"/>
    </xf>
    <xf numFmtId="0" fontId="22" fillId="2" borderId="11" applyAlignment="1" pivotButton="0" quotePrefix="0" xfId="0">
      <alignment horizontal="center" vertical="center" wrapText="1"/>
    </xf>
    <xf numFmtId="0" fontId="22" fillId="2" borderId="11" applyAlignment="1" pivotButton="0" quotePrefix="0" xfId="0">
      <alignment horizontal="center" vertical="center"/>
    </xf>
    <xf numFmtId="165" fontId="22" fillId="2" borderId="22" applyAlignment="1" pivotButton="0" quotePrefix="0" xfId="0">
      <alignment horizontal="center" vertical="center"/>
    </xf>
    <xf numFmtId="165" fontId="13" fillId="3" borderId="12" applyAlignment="1" pivotButton="0" quotePrefix="0" xfId="0">
      <alignment horizontal="center" vertical="center"/>
    </xf>
    <xf numFmtId="0" fontId="13" fillId="3" borderId="8" applyAlignment="1" applyProtection="1" pivotButton="0" quotePrefix="0" xfId="0">
      <alignment horizontal="left" vertical="top" wrapText="1"/>
      <protection locked="0" hidden="0"/>
    </xf>
    <xf numFmtId="0" fontId="8" fillId="3" borderId="8" applyAlignment="1" applyProtection="1" pivotButton="0" quotePrefix="0" xfId="0">
      <alignment vertical="top" wrapText="1"/>
      <protection locked="0" hidden="0"/>
    </xf>
    <xf numFmtId="0" fontId="20" fillId="3" borderId="5" applyAlignment="1" pivotButton="0" quotePrefix="0" xfId="0">
      <alignment horizontal="center" vertical="center" wrapText="1"/>
    </xf>
    <xf numFmtId="0" fontId="24" fillId="2" borderId="4" applyAlignment="1" pivotButton="0" quotePrefix="0" xfId="0">
      <alignment horizontal="centerContinuous" vertical="center" wrapText="1"/>
    </xf>
    <xf numFmtId="0" fontId="25" fillId="3" borderId="4" applyAlignment="1" pivotButton="0" quotePrefix="0" xfId="0">
      <alignment horizontal="centerContinuous" vertical="center" wrapText="1"/>
    </xf>
    <xf numFmtId="0" fontId="25" fillId="3" borderId="3" applyAlignment="1" pivotButton="0" quotePrefix="0" xfId="0">
      <alignment horizontal="centerContinuous" vertical="center" wrapText="1"/>
    </xf>
    <xf numFmtId="165" fontId="13" fillId="2" borderId="5" applyAlignment="1" pivotButton="0" quotePrefix="0" xfId="0">
      <alignment horizontal="center" vertical="center"/>
    </xf>
    <xf numFmtId="0" fontId="8" fillId="3" borderId="8" applyAlignment="1" applyProtection="1" pivotButton="0" quotePrefix="0" xfId="0">
      <alignment horizontal="centerContinuous" vertical="top" wrapText="1"/>
      <protection locked="0" hidden="0"/>
    </xf>
    <xf numFmtId="0" fontId="20" fillId="3" borderId="28" applyAlignment="1" pivotButton="0" quotePrefix="0" xfId="0">
      <alignment horizontal="center" vertical="center" wrapText="1"/>
    </xf>
    <xf numFmtId="165" fontId="13" fillId="2" borderId="12" applyAlignment="1" pivotButton="0" quotePrefix="0" xfId="0">
      <alignment horizontal="center" vertical="center"/>
    </xf>
    <xf numFmtId="0" fontId="20" fillId="3" borderId="29" applyAlignment="1" pivotButton="0" quotePrefix="0" xfId="0">
      <alignment vertical="center" wrapText="1"/>
    </xf>
    <xf numFmtId="0" fontId="13" fillId="3" borderId="30" applyAlignment="1" pivotButton="0" quotePrefix="0" xfId="0">
      <alignment vertical="center" wrapText="1"/>
    </xf>
    <xf numFmtId="0" fontId="13" fillId="3" borderId="0" applyAlignment="1" pivotButton="0" quotePrefix="0" xfId="0">
      <alignment vertical="center" wrapText="1"/>
    </xf>
    <xf numFmtId="0" fontId="13" fillId="3" borderId="34" applyAlignment="1" pivotButton="0" quotePrefix="0" xfId="0">
      <alignment vertical="center" wrapText="1"/>
    </xf>
    <xf numFmtId="0" fontId="20" fillId="3" borderId="30" applyAlignment="1" pivotButton="0" quotePrefix="0" xfId="0">
      <alignment horizontal="center" vertical="center" wrapText="1"/>
    </xf>
    <xf numFmtId="165" fontId="13" fillId="2" borderId="31" applyAlignment="1" pivotButton="0" quotePrefix="0" xfId="0">
      <alignment horizontal="center" vertical="center"/>
    </xf>
    <xf numFmtId="0" fontId="22" fillId="2" borderId="1" applyAlignment="1" pivotButton="0" quotePrefix="0" xfId="0">
      <alignment horizontal="centerContinuous" vertical="center" wrapText="1"/>
    </xf>
    <xf numFmtId="0" fontId="13" fillId="3" borderId="5" applyAlignment="1" pivotButton="0" quotePrefix="0" xfId="0">
      <alignment horizontal="center" vertical="center" wrapText="1"/>
    </xf>
    <xf numFmtId="0" fontId="24" fillId="2" borderId="25" applyAlignment="1" pivotButton="0" quotePrefix="0" xfId="0">
      <alignment horizontal="centerContinuous" vertical="center" wrapText="1"/>
    </xf>
    <xf numFmtId="0" fontId="25" fillId="3" borderId="25" applyAlignment="1" pivotButton="0" quotePrefix="0" xfId="0">
      <alignment horizontal="centerContinuous" vertical="center" wrapText="1"/>
    </xf>
    <xf numFmtId="0" fontId="25" fillId="3" borderId="26" applyAlignment="1" pivotButton="0" quotePrefix="0" xfId="0">
      <alignment horizontal="centerContinuous" vertical="center" wrapText="1"/>
    </xf>
    <xf numFmtId="165" fontId="13" fillId="2" borderId="29" applyAlignment="1" pivotButton="0" quotePrefix="0" xfId="0">
      <alignment horizontal="center" vertical="center"/>
    </xf>
    <xf numFmtId="0" fontId="20" fillId="3" borderId="28" applyAlignment="1" pivotButton="0" quotePrefix="0" xfId="0">
      <alignment vertical="center" wrapText="1"/>
    </xf>
    <xf numFmtId="0" fontId="22" fillId="3" borderId="8" applyAlignment="1" applyProtection="1" pivotButton="0" quotePrefix="0" xfId="0">
      <alignment horizontal="left" vertical="top" wrapText="1"/>
      <protection locked="0" hidden="0"/>
    </xf>
    <xf numFmtId="165" fontId="13" fillId="3" borderId="31" applyAlignment="1" pivotButton="0" quotePrefix="0" xfId="0">
      <alignment horizontal="center" vertical="center"/>
    </xf>
    <xf numFmtId="0" fontId="22" fillId="2" borderId="15" applyAlignment="1" pivotButton="0" quotePrefix="0" xfId="0">
      <alignment horizontal="center" vertical="center" wrapText="1"/>
    </xf>
    <xf numFmtId="0" fontId="22" fillId="2" borderId="15" applyAlignment="1" pivotButton="0" quotePrefix="0" xfId="0">
      <alignment horizontal="center" vertical="center"/>
    </xf>
    <xf numFmtId="165" fontId="22" fillId="2" borderId="16" applyAlignment="1" pivotButton="0" quotePrefix="0" xfId="0">
      <alignment horizontal="center" vertical="center"/>
    </xf>
    <xf numFmtId="0" fontId="13" fillId="3" borderId="0" applyAlignment="1" pivotButton="0" quotePrefix="0" xfId="0">
      <alignment horizontal="center" vertical="center" wrapText="1"/>
    </xf>
    <xf numFmtId="0" fontId="13" fillId="0" borderId="5" applyAlignment="1" pivotButton="0" quotePrefix="0" xfId="0">
      <alignment horizontal="center" vertical="center" wrapText="1"/>
    </xf>
    <xf numFmtId="0" fontId="8" fillId="3" borderId="7" applyAlignment="1" applyProtection="1" pivotButton="0" quotePrefix="0" xfId="0">
      <alignment vertical="center" wrapText="1"/>
      <protection locked="0" hidden="0"/>
    </xf>
    <xf numFmtId="0" fontId="8" fillId="3" borderId="32" applyAlignment="1" applyProtection="1" pivotButton="0" quotePrefix="0" xfId="0">
      <alignment vertical="center" wrapText="1"/>
      <protection locked="0" hidden="0"/>
    </xf>
    <xf numFmtId="0" fontId="21" fillId="3" borderId="12" applyAlignment="1" pivotButton="0" quotePrefix="0" xfId="0">
      <alignment horizontal="center" vertical="center" wrapText="1"/>
    </xf>
    <xf numFmtId="165" fontId="8" fillId="3" borderId="14" applyAlignment="1" pivotButton="0" quotePrefix="0" xfId="0">
      <alignment horizontal="center" vertical="center"/>
    </xf>
    <xf numFmtId="165" fontId="8" fillId="3" borderId="16" applyAlignment="1" pivotButton="0" quotePrefix="0" xfId="0">
      <alignment horizontal="center" vertical="center"/>
    </xf>
    <xf numFmtId="0" fontId="8" fillId="3" borderId="30" applyAlignment="1" applyProtection="1" pivotButton="0" quotePrefix="0" xfId="0">
      <alignment vertical="center" wrapText="1"/>
      <protection locked="0" hidden="0"/>
    </xf>
    <xf numFmtId="0" fontId="8" fillId="3" borderId="34" applyAlignment="1" applyProtection="1" pivotButton="0" quotePrefix="0" xfId="0">
      <alignment vertical="center" wrapText="1"/>
      <protection locked="0" hidden="0"/>
    </xf>
    <xf numFmtId="0" fontId="13" fillId="3" borderId="13" applyAlignment="1" pivotButton="0" quotePrefix="0" xfId="0">
      <alignment horizontal="centerContinuous" vertical="center" wrapText="1"/>
    </xf>
    <xf numFmtId="165" fontId="8" fillId="3" borderId="23" applyAlignment="1" pivotButton="0" quotePrefix="0" xfId="0">
      <alignment horizontal="center" vertical="center" wrapText="1"/>
    </xf>
    <xf numFmtId="165" fontId="8" fillId="3" borderId="2" applyAlignment="1" pivotButton="0" quotePrefix="0" xfId="0">
      <alignment horizontal="center" vertical="center"/>
    </xf>
    <xf numFmtId="165" fontId="8" fillId="3" borderId="9" applyAlignment="1" pivotButton="0" quotePrefix="0" xfId="0">
      <alignment horizontal="center" vertical="center"/>
    </xf>
    <xf numFmtId="0" fontId="13" fillId="3" borderId="31" applyAlignment="1" pivotButton="0" quotePrefix="0" xfId="0">
      <alignment horizontal="centerContinuous" vertical="center" wrapText="1"/>
    </xf>
    <xf numFmtId="165" fontId="8" fillId="3" borderId="24" applyAlignment="1" pivotButton="0" quotePrefix="0" xfId="0">
      <alignment horizontal="center" vertical="center" wrapText="1"/>
    </xf>
    <xf numFmtId="165" fontId="8" fillId="3" borderId="18" applyAlignment="1" pivotButton="0" quotePrefix="0" xfId="0">
      <alignment horizontal="center" vertical="center"/>
    </xf>
    <xf numFmtId="165" fontId="8" fillId="3" borderId="19" applyAlignment="1" pivotButton="0" quotePrefix="0" xfId="0">
      <alignment horizontal="center" vertical="center"/>
    </xf>
    <xf numFmtId="0" fontId="8" fillId="3" borderId="1" applyAlignment="1" applyProtection="1" pivotButton="0" quotePrefix="0" xfId="0">
      <alignment horizontal="centerContinuous" vertical="center" wrapText="1"/>
      <protection locked="0" hidden="0"/>
    </xf>
    <xf numFmtId="0" fontId="13" fillId="3" borderId="29" applyAlignment="1" pivotButton="0" quotePrefix="0" xfId="0">
      <alignment horizontal="center" vertical="center" wrapText="1"/>
    </xf>
    <xf numFmtId="165" fontId="8" fillId="3" borderId="17" applyAlignment="1" pivotButton="0" quotePrefix="0" xfId="0">
      <alignment horizontal="center" vertical="center" wrapText="1"/>
    </xf>
    <xf numFmtId="165" fontId="8" fillId="3" borderId="17" applyAlignment="1" pivotButton="0" quotePrefix="0" xfId="0">
      <alignment horizontal="center" vertical="center"/>
    </xf>
    <xf numFmtId="0" fontId="8" fillId="3" borderId="33" applyAlignment="1" applyProtection="1" pivotButton="0" quotePrefix="0" xfId="0">
      <alignment vertical="center" wrapText="1"/>
      <protection locked="0" hidden="0"/>
    </xf>
    <xf numFmtId="0" fontId="8" fillId="3" borderId="26" applyAlignment="1" applyProtection="1" pivotButton="0" quotePrefix="0" xfId="0">
      <alignment vertical="center" wrapText="1"/>
      <protection locked="0" hidden="0"/>
    </xf>
    <xf numFmtId="165" fontId="8" fillId="3" borderId="15" applyAlignment="1" pivotButton="0" quotePrefix="0" xfId="0">
      <alignment horizontal="center" vertical="center"/>
    </xf>
    <xf numFmtId="165" fontId="8" fillId="3" borderId="20" applyAlignment="1" pivotButton="0" quotePrefix="0" xfId="0">
      <alignment horizontal="center" vertical="center"/>
    </xf>
    <xf numFmtId="165" fontId="8" fillId="3" borderId="21" applyAlignment="1" pivotButton="0" quotePrefix="0" xfId="0">
      <alignment horizontal="center" vertical="center"/>
    </xf>
    <xf numFmtId="165" fontId="13" fillId="0" borderId="5" applyAlignment="1" pivotButton="0" quotePrefix="0" xfId="0">
      <alignment horizontal="center" vertical="center"/>
    </xf>
    <xf numFmtId="0" fontId="13" fillId="3" borderId="1" applyAlignment="1" pivotButton="0" quotePrefix="0" xfId="0">
      <alignment horizontal="left" vertical="center" wrapText="1"/>
    </xf>
    <xf numFmtId="165" fontId="8" fillId="2" borderId="5" applyAlignment="1" pivotButton="0" quotePrefix="0" xfId="0">
      <alignment horizontal="center" vertical="center" wrapText="1"/>
    </xf>
    <xf numFmtId="10" fontId="8" fillId="2" borderId="5" applyAlignment="1" pivotButton="0" quotePrefix="0" xfId="0">
      <alignment horizontal="center" vertical="center" wrapText="1"/>
    </xf>
    <xf numFmtId="0" fontId="13" fillId="3" borderId="12" applyAlignment="1" pivotButton="0" quotePrefix="0" xfId="0">
      <alignment horizontal="centerContinuous" vertical="center" wrapText="1"/>
    </xf>
    <xf numFmtId="165" fontId="8" fillId="3" borderId="12" applyAlignment="1" pivotButton="0" quotePrefix="0" xfId="1">
      <alignment horizontal="center" vertical="center" wrapText="1"/>
    </xf>
    <xf numFmtId="0" fontId="13" fillId="3" borderId="27" applyAlignment="1" pivotButton="0" quotePrefix="0" xfId="0">
      <alignment horizontal="centerContinuous" vertical="center" wrapText="1"/>
    </xf>
    <xf numFmtId="165" fontId="8" fillId="3" borderId="27" applyAlignment="1" pivotButton="0" quotePrefix="0" xfId="1">
      <alignment horizontal="center" vertical="center" wrapText="1"/>
    </xf>
    <xf numFmtId="165" fontId="13" fillId="3" borderId="5" applyAlignment="1" pivotButton="0" quotePrefix="0" xfId="0">
      <alignment horizontal="center" wrapText="1"/>
    </xf>
    <xf numFmtId="166" fontId="13" fillId="3" borderId="5" applyAlignment="1" pivotButton="0" quotePrefix="0" xfId="0">
      <alignment horizontal="center" vertical="center" wrapText="1"/>
    </xf>
    <xf numFmtId="165" fontId="13" fillId="3" borderId="3" applyAlignment="1" applyProtection="1" pivotButton="0" quotePrefix="0" xfId="0">
      <alignment horizontal="center" vertical="center" wrapText="1"/>
      <protection locked="0" hidden="0"/>
    </xf>
    <xf numFmtId="0" fontId="28" fillId="7" borderId="0" pivotButton="0" quotePrefix="0" xfId="0"/>
    <xf numFmtId="0" fontId="29" fillId="7" borderId="0" pivotButton="0" quotePrefix="0" xfId="0"/>
    <xf numFmtId="0" fontId="28" fillId="7" borderId="0" applyAlignment="1" pivotButton="0" quotePrefix="0" xfId="0">
      <alignment wrapText="1"/>
    </xf>
    <xf numFmtId="0" fontId="19" fillId="3" borderId="1" applyAlignment="1" pivotButton="0" quotePrefix="0" xfId="0">
      <alignment horizontal="center" vertical="center" wrapText="1"/>
    </xf>
    <xf numFmtId="0" fontId="19" fillId="3" borderId="3" applyAlignment="1" pivotButton="0" quotePrefix="0" xfId="0">
      <alignment horizontal="center" vertical="center" wrapText="1"/>
    </xf>
    <xf numFmtId="0" fontId="21" fillId="3" borderId="37" applyAlignment="1" pivotButton="0" quotePrefix="0" xfId="0">
      <alignment horizontal="center" vertical="center" wrapText="1"/>
    </xf>
    <xf numFmtId="165" fontId="13" fillId="3" borderId="38" applyAlignment="1" pivotButton="0" quotePrefix="0" xfId="0">
      <alignment horizontal="center" vertical="center"/>
    </xf>
    <xf numFmtId="0" fontId="22" fillId="2" borderId="8" applyAlignment="1" pivotButton="0" quotePrefix="0" xfId="0">
      <alignment horizontal="center" vertical="center" wrapText="1"/>
    </xf>
    <xf numFmtId="165" fontId="22" fillId="2" borderId="0" applyAlignment="1" pivotButton="0" quotePrefix="0" xfId="0">
      <alignment horizontal="center" vertical="center"/>
    </xf>
    <xf numFmtId="0" fontId="22" fillId="2" borderId="8" applyAlignment="1" pivotButton="0" quotePrefix="0" xfId="0">
      <alignment horizontal="center" vertical="center"/>
    </xf>
    <xf numFmtId="0" fontId="22" fillId="2" borderId="13" applyAlignment="1" pivotButton="0" quotePrefix="0" xfId="0">
      <alignment horizontal="center" vertical="center"/>
    </xf>
    <xf numFmtId="0" fontId="22" fillId="2" borderId="12" applyAlignment="1" pivotButton="0" quotePrefix="0" xfId="0">
      <alignment horizontal="center" vertical="center"/>
    </xf>
    <xf numFmtId="0" fontId="22" fillId="2" borderId="27" applyAlignment="1" pivotButton="0" quotePrefix="0" xfId="0">
      <alignment horizontal="centerContinuous" vertical="center" wrapText="1"/>
    </xf>
    <xf numFmtId="9" fontId="22" fillId="2" borderId="40" applyAlignment="1" pivotButton="0" quotePrefix="0" xfId="2">
      <alignment horizontal="center" vertical="center"/>
    </xf>
    <xf numFmtId="9" fontId="22" fillId="2" borderId="38" applyAlignment="1" pivotButton="0" quotePrefix="0" xfId="2">
      <alignment horizontal="center" vertical="center"/>
    </xf>
    <xf numFmtId="9" fontId="22" fillId="2" borderId="39" applyAlignment="1" pivotButton="0" quotePrefix="0" xfId="2">
      <alignment horizontal="center" vertical="center" wrapText="1"/>
    </xf>
    <xf numFmtId="0" fontId="22" fillId="2" borderId="41" applyAlignment="1" pivotButton="0" quotePrefix="0" xfId="0">
      <alignment horizontal="center" vertical="center" wrapText="1"/>
    </xf>
    <xf numFmtId="0" fontId="22" fillId="2" borderId="10" applyAlignment="1" pivotButton="0" quotePrefix="0" xfId="0">
      <alignment horizontal="center" vertical="center" wrapText="1"/>
    </xf>
    <xf numFmtId="0" fontId="22" fillId="2" borderId="42" applyAlignment="1" pivotButton="0" quotePrefix="0" xfId="0">
      <alignment horizontal="center" vertical="center" wrapText="1"/>
    </xf>
    <xf numFmtId="0" fontId="30" fillId="3" borderId="0" applyAlignment="1" pivotButton="0" quotePrefix="0" xfId="0">
      <alignment horizontal="right" vertical="center" wrapText="1"/>
    </xf>
    <xf numFmtId="0" fontId="30" fillId="3" borderId="0" applyAlignment="1" pivotButton="0" quotePrefix="0" xfId="0">
      <alignment horizontal="right" wrapText="1"/>
    </xf>
    <xf numFmtId="0" fontId="31" fillId="3" borderId="0" applyAlignment="1" pivotButton="0" quotePrefix="0" xfId="0">
      <alignment horizontal="right" vertical="center" wrapText="1"/>
    </xf>
    <xf numFmtId="165" fontId="21" fillId="3" borderId="0" applyAlignment="1" pivotButton="0" quotePrefix="0" xfId="0">
      <alignment vertical="center"/>
    </xf>
    <xf numFmtId="165" fontId="32" fillId="3" borderId="0" applyAlignment="1" pivotButton="0" quotePrefix="0" xfId="0">
      <alignment vertical="center"/>
    </xf>
    <xf numFmtId="2" fontId="31" fillId="3" borderId="0" applyAlignment="1" pivotButton="0" quotePrefix="0" xfId="0">
      <alignment horizontal="right" vertical="center" wrapText="1"/>
    </xf>
    <xf numFmtId="0" fontId="21" fillId="2" borderId="12" applyAlignment="1" pivotButton="0" quotePrefix="0" xfId="0">
      <alignment horizontal="center" vertical="center" wrapText="1"/>
    </xf>
    <xf numFmtId="0" fontId="21" fillId="2" borderId="13" applyAlignment="1" pivotButton="0" quotePrefix="0" xfId="0">
      <alignment horizontal="center" vertical="center" wrapText="1"/>
    </xf>
    <xf numFmtId="0" fontId="21" fillId="2" borderId="27" applyAlignment="1" pivotButton="0" quotePrefix="0" xfId="0">
      <alignment horizontal="center" vertical="center" wrapText="1"/>
    </xf>
    <xf numFmtId="165" fontId="13" fillId="3" borderId="5" applyAlignment="1" pivotButton="0" quotePrefix="0" xfId="0">
      <alignment horizontal="center" vertical="center"/>
    </xf>
    <xf numFmtId="165" fontId="13" fillId="3" borderId="29" applyAlignment="1" pivotButton="0" quotePrefix="0" xfId="0">
      <alignment horizontal="center" vertical="center"/>
    </xf>
    <xf numFmtId="0" fontId="21" fillId="2" borderId="5" applyAlignment="1" pivotButton="0" quotePrefix="0" xfId="0">
      <alignment horizontal="center" vertical="center" wrapText="1"/>
    </xf>
    <xf numFmtId="0" fontId="13" fillId="2" borderId="5" applyAlignment="1" pivotButton="0" quotePrefix="0" xfId="0">
      <alignment horizontal="center" vertical="center" wrapText="1"/>
    </xf>
    <xf numFmtId="0" fontId="13" fillId="2" borderId="30" applyAlignment="1" pivotButton="0" quotePrefix="0" xfId="0">
      <alignment vertical="center" wrapText="1"/>
    </xf>
    <xf numFmtId="0" fontId="21" fillId="2" borderId="29" applyAlignment="1" pivotButton="0" quotePrefix="0" xfId="0">
      <alignment horizontal="center" vertical="center" wrapText="1"/>
    </xf>
    <xf numFmtId="0" fontId="13" fillId="2" borderId="30" applyAlignment="1" pivotButton="0" quotePrefix="0" xfId="0">
      <alignment horizontal="center" vertical="center" wrapText="1"/>
    </xf>
    <xf numFmtId="0" fontId="13" fillId="2" borderId="29" applyAlignment="1" pivotButton="0" quotePrefix="0" xfId="0">
      <alignment horizontal="center" vertical="center" wrapText="1"/>
    </xf>
    <xf numFmtId="0" fontId="21" fillId="2" borderId="35" applyAlignment="1" pivotButton="0" quotePrefix="0" xfId="0">
      <alignment horizontal="center" vertical="center" wrapText="1"/>
    </xf>
    <xf numFmtId="0" fontId="13" fillId="2" borderId="35" applyAlignment="1" pivotButton="0" quotePrefix="0" xfId="0">
      <alignment horizontal="center" vertical="center" wrapText="1"/>
    </xf>
    <xf numFmtId="0" fontId="13" fillId="3" borderId="4" applyAlignment="1" pivotButton="0" quotePrefix="0" xfId="0">
      <alignment horizontal="centerContinuous" vertical="center" wrapText="1"/>
    </xf>
    <xf numFmtId="0" fontId="13" fillId="3" borderId="3" applyAlignment="1" pivotButton="0" quotePrefix="0" xfId="0">
      <alignment horizontal="centerContinuous" vertical="center" wrapText="1"/>
    </xf>
    <xf numFmtId="165" fontId="8" fillId="3" borderId="4" applyAlignment="1" pivotButton="0" quotePrefix="0" xfId="0">
      <alignment horizontal="center" vertical="top" wrapText="1"/>
    </xf>
    <xf numFmtId="0" fontId="16" fillId="3" borderId="6" applyAlignment="1" pivotButton="0" quotePrefix="0" xfId="0">
      <alignment horizontal="center" vertical="center" wrapText="1"/>
    </xf>
    <xf numFmtId="0" fontId="16" fillId="3" borderId="1" applyAlignment="1" pivotButton="0" quotePrefix="0" xfId="0">
      <alignment horizontal="center" vertical="center" wrapText="1"/>
    </xf>
    <xf numFmtId="0" fontId="10" fillId="3" borderId="8" applyAlignment="1" applyProtection="1" pivotButton="0" quotePrefix="0" xfId="0">
      <alignment horizontal="left" wrapText="1"/>
      <protection locked="0" hidden="0"/>
    </xf>
    <xf numFmtId="0" fontId="10" fillId="3" borderId="8" applyAlignment="1" applyProtection="1" pivotButton="0" quotePrefix="0" xfId="0">
      <alignment horizontal="left" vertical="top" wrapText="1"/>
      <protection locked="0" hidden="0"/>
    </xf>
    <xf numFmtId="0" fontId="28" fillId="0" borderId="0" applyAlignment="1" pivotButton="0" quotePrefix="0" xfId="0">
      <alignment wrapText="1"/>
    </xf>
    <xf numFmtId="0" fontId="0" fillId="3" borderId="0" pivotButton="0" quotePrefix="0" xfId="0"/>
    <xf numFmtId="0" fontId="29" fillId="0" borderId="20" applyAlignment="1" pivotButton="0" quotePrefix="0" xfId="0">
      <alignment vertical="center"/>
    </xf>
    <xf numFmtId="167" fontId="29" fillId="0" borderId="20" applyAlignment="1" pivotButton="0" quotePrefix="0" xfId="3">
      <alignment vertical="center"/>
    </xf>
    <xf numFmtId="167" fontId="29" fillId="0" borderId="20" applyAlignment="1" pivotButton="0" quotePrefix="0" xfId="3">
      <alignment horizontal="center" vertical="center"/>
    </xf>
    <xf numFmtId="0" fontId="8" fillId="3" borderId="1" applyAlignment="1" pivotButton="0" quotePrefix="0" xfId="0">
      <alignment horizontal="center" vertical="center" wrapText="1"/>
    </xf>
    <xf numFmtId="0" fontId="8" fillId="3" borderId="5" applyAlignment="1" pivotButton="0" quotePrefix="0" xfId="0">
      <alignment horizontal="center" vertical="center" wrapText="1"/>
    </xf>
    <xf numFmtId="0" fontId="8" fillId="2" borderId="5" applyAlignment="1" pivotButton="0" quotePrefix="0" xfId="0">
      <alignment horizontal="left" vertical="center" wrapText="1"/>
    </xf>
    <xf numFmtId="0" fontId="8" fillId="3" borderId="3" applyAlignment="1" pivotButton="0" quotePrefix="0" xfId="0">
      <alignment horizontal="centerContinuous" vertical="center" wrapText="1"/>
    </xf>
    <xf numFmtId="0" fontId="22" fillId="3" borderId="8" applyAlignment="1" applyProtection="1" pivotButton="0" quotePrefix="0" xfId="0">
      <alignment horizontal="left" vertical="top" wrapText="1"/>
      <protection locked="0" hidden="0"/>
    </xf>
    <xf numFmtId="0" fontId="22" fillId="3" borderId="29" applyAlignment="1" applyProtection="1" pivotButton="0" quotePrefix="0" xfId="0">
      <alignment horizontal="left" vertical="top" wrapText="1"/>
      <protection locked="0" hidden="0"/>
    </xf>
    <xf numFmtId="0" fontId="20" fillId="3" borderId="7" applyAlignment="1" pivotButton="0" quotePrefix="0" xfId="0">
      <alignment horizontal="center" vertical="center" wrapText="1"/>
    </xf>
    <xf numFmtId="0" fontId="20" fillId="3" borderId="30" applyAlignment="1" pivotButton="0" quotePrefix="0" xfId="0">
      <alignment horizontal="center" vertical="center" wrapText="1"/>
    </xf>
    <xf numFmtId="0" fontId="20" fillId="3" borderId="33" applyAlignment="1" pivotButton="0" quotePrefix="0" xfId="0">
      <alignment horizontal="center" vertical="center" wrapText="1"/>
    </xf>
    <xf numFmtId="0" fontId="20" fillId="3" borderId="28" applyAlignment="1" pivotButton="0" quotePrefix="0" xfId="0">
      <alignment horizontal="center" vertical="center" wrapText="1"/>
    </xf>
    <xf numFmtId="0" fontId="20" fillId="3" borderId="8" applyAlignment="1" pivotButton="0" quotePrefix="0" xfId="0">
      <alignment horizontal="center" vertical="center" wrapText="1"/>
    </xf>
    <xf numFmtId="0" fontId="20" fillId="3" borderId="29" applyAlignment="1" pivotButton="0" quotePrefix="0" xfId="0">
      <alignment horizontal="center" vertical="center" wrapText="1"/>
    </xf>
    <xf numFmtId="0" fontId="10" fillId="5" borderId="1" applyAlignment="1" pivotButton="0" quotePrefix="0" xfId="0">
      <alignment horizontal="left" vertical="center" wrapText="1"/>
    </xf>
    <xf numFmtId="0" fontId="10" fillId="5" borderId="4" applyAlignment="1" pivotButton="0" quotePrefix="0" xfId="0">
      <alignment horizontal="left" vertical="center" wrapText="1"/>
    </xf>
    <xf numFmtId="0" fontId="10" fillId="5" borderId="3" applyAlignment="1" pivotButton="0" quotePrefix="0" xfId="0">
      <alignment horizontal="left" vertical="center" wrapText="1"/>
    </xf>
    <xf numFmtId="0" fontId="18" fillId="3" borderId="4" applyAlignment="1" pivotButton="0" quotePrefix="0" xfId="0">
      <alignment horizontal="center" vertical="center" wrapText="1"/>
    </xf>
    <xf numFmtId="0" fontId="18" fillId="3" borderId="3" applyAlignment="1" pivotButton="0" quotePrefix="0" xfId="0">
      <alignment horizontal="center" vertical="center" wrapText="1"/>
    </xf>
    <xf numFmtId="0" fontId="21" fillId="3" borderId="28" applyAlignment="1" pivotButton="0" quotePrefix="0" xfId="0">
      <alignment horizontal="left" wrapText="1"/>
    </xf>
    <xf numFmtId="0" fontId="21" fillId="3" borderId="29" applyAlignment="1" pivotButton="0" quotePrefix="0" xfId="0">
      <alignment horizontal="left" wrapText="1"/>
    </xf>
    <xf numFmtId="0" fontId="8" fillId="5" borderId="1" applyAlignment="1" pivotButton="0" quotePrefix="0" xfId="0">
      <alignment horizontal="center" wrapText="1"/>
    </xf>
    <xf numFmtId="0" fontId="8" fillId="5" borderId="4" applyAlignment="1" pivotButton="0" quotePrefix="0" xfId="0">
      <alignment horizontal="center" wrapText="1"/>
    </xf>
    <xf numFmtId="0" fontId="8" fillId="5" borderId="3" applyAlignment="1" pivotButton="0" quotePrefix="0" xfId="0">
      <alignment horizontal="center" wrapText="1"/>
    </xf>
    <xf numFmtId="0" fontId="8" fillId="5" borderId="1" applyAlignment="1" pivotButton="0" quotePrefix="0" xfId="0">
      <alignment horizontal="center"/>
    </xf>
    <xf numFmtId="0" fontId="8" fillId="5" borderId="4" applyAlignment="1" pivotButton="0" quotePrefix="0" xfId="0">
      <alignment horizontal="center"/>
    </xf>
    <xf numFmtId="0" fontId="8" fillId="5" borderId="3" applyAlignment="1" pivotButton="0" quotePrefix="0" xfId="0">
      <alignment horizontal="center"/>
    </xf>
    <xf numFmtId="0" fontId="17" fillId="3" borderId="1" applyAlignment="1" applyProtection="1" pivotButton="0" quotePrefix="0" xfId="0">
      <alignment horizontal="center" vertical="center" wrapText="1"/>
      <protection locked="0" hidden="0"/>
    </xf>
    <xf numFmtId="0" fontId="17" fillId="3" borderId="3" applyAlignment="1" applyProtection="1" pivotButton="0" quotePrefix="0" xfId="0">
      <alignment horizontal="center" vertical="center" wrapText="1"/>
      <protection locked="0" hidden="0"/>
    </xf>
    <xf numFmtId="0" fontId="17" fillId="0" borderId="1" applyAlignment="1" applyProtection="1" pivotButton="0" quotePrefix="0" xfId="0">
      <alignment horizontal="center" vertical="center" wrapText="1"/>
      <protection locked="0" hidden="0"/>
    </xf>
    <xf numFmtId="0" fontId="17" fillId="0" borderId="3" applyAlignment="1" applyProtection="1" pivotButton="0" quotePrefix="0" xfId="0">
      <alignment horizontal="center" vertical="center" wrapText="1"/>
      <protection locked="0" hidden="0"/>
    </xf>
    <xf numFmtId="0" fontId="17" fillId="0" borderId="1" applyAlignment="1" pivotButton="0" quotePrefix="0" xfId="0">
      <alignment horizontal="center" vertical="center" wrapText="1"/>
    </xf>
    <xf numFmtId="0" fontId="17" fillId="0" borderId="3" applyAlignment="1" pivotButton="0" quotePrefix="0" xfId="0">
      <alignment horizontal="center" vertical="center" wrapText="1"/>
    </xf>
    <xf numFmtId="0" fontId="10" fillId="5" borderId="1" applyAlignment="1" pivotButton="0" quotePrefix="0" xfId="0">
      <alignment horizontal="center" vertical="top" wrapText="1"/>
    </xf>
    <xf numFmtId="0" fontId="10" fillId="5" borderId="4" applyAlignment="1" pivotButton="0" quotePrefix="0" xfId="0">
      <alignment horizontal="center" vertical="top" wrapText="1"/>
    </xf>
    <xf numFmtId="0" fontId="11" fillId="6" borderId="1" applyAlignment="1" pivotButton="0" quotePrefix="0" xfId="0">
      <alignment horizontal="center" vertical="top" wrapText="1"/>
    </xf>
    <xf numFmtId="0" fontId="11" fillId="6" borderId="3" applyAlignment="1" pivotButton="0" quotePrefix="0" xfId="0">
      <alignment horizontal="center" vertical="top" wrapText="1"/>
    </xf>
    <xf numFmtId="0" fontId="8" fillId="2" borderId="1" applyAlignment="1" pivotButton="0" quotePrefix="0" xfId="0">
      <alignment horizontal="center" wrapText="1"/>
    </xf>
    <xf numFmtId="0" fontId="8" fillId="2" borderId="4" applyAlignment="1" pivotButton="0" quotePrefix="0" xfId="0">
      <alignment horizontal="center" wrapText="1"/>
    </xf>
    <xf numFmtId="0" fontId="8" fillId="2" borderId="3" applyAlignment="1" pivotButton="0" quotePrefix="0" xfId="0">
      <alignment horizontal="center" wrapText="1"/>
    </xf>
    <xf numFmtId="0" fontId="8" fillId="3" borderId="28" applyAlignment="1" pivotButton="0" quotePrefix="0" xfId="0">
      <alignment horizontal="center" vertical="center" wrapText="1"/>
    </xf>
    <xf numFmtId="0" fontId="8" fillId="3" borderId="29" applyAlignment="1" pivotButton="0" quotePrefix="0" xfId="0">
      <alignment horizontal="center" vertical="center" wrapText="1"/>
    </xf>
    <xf numFmtId="0" fontId="22" fillId="2" borderId="1" applyAlignment="1" pivotButton="0" quotePrefix="0" xfId="0">
      <alignment horizontal="left" vertical="center" wrapText="1"/>
    </xf>
    <xf numFmtId="0" fontId="22" fillId="2" borderId="4" applyAlignment="1" pivotButton="0" quotePrefix="0" xfId="0">
      <alignment horizontal="left" vertical="center" wrapText="1"/>
    </xf>
    <xf numFmtId="0" fontId="22" fillId="2" borderId="3" applyAlignment="1" pivotButton="0" quotePrefix="0" xfId="0">
      <alignment horizontal="left" vertical="center" wrapText="1"/>
    </xf>
    <xf numFmtId="0" fontId="15" fillId="2" borderId="1" applyAlignment="1" pivotButton="0" quotePrefix="0" xfId="0">
      <alignment horizontal="left" wrapText="1"/>
    </xf>
    <xf numFmtId="0" fontId="8" fillId="2" borderId="4" applyAlignment="1" pivotButton="0" quotePrefix="0" xfId="0">
      <alignment horizontal="left" wrapText="1"/>
    </xf>
    <xf numFmtId="0" fontId="8" fillId="2" borderId="3" applyAlignment="1" pivotButton="0" quotePrefix="0" xfId="0">
      <alignment horizontal="left" wrapText="1"/>
    </xf>
    <xf numFmtId="0" fontId="8" fillId="3" borderId="7" applyAlignment="1" applyProtection="1" pivotButton="0" quotePrefix="0" xfId="0">
      <alignment horizontal="center" vertical="center" wrapText="1"/>
      <protection locked="0" hidden="0"/>
    </xf>
    <xf numFmtId="0" fontId="8" fillId="3" borderId="6" applyAlignment="1" applyProtection="1" pivotButton="0" quotePrefix="0" xfId="0">
      <alignment horizontal="center" vertical="center" wrapText="1"/>
      <protection locked="0" hidden="0"/>
    </xf>
    <xf numFmtId="0" fontId="8" fillId="3" borderId="30" applyAlignment="1" applyProtection="1" pivotButton="0" quotePrefix="0" xfId="0">
      <alignment horizontal="center" vertical="center" wrapText="1"/>
      <protection locked="0" hidden="0"/>
    </xf>
    <xf numFmtId="0" fontId="8" fillId="3" borderId="0" applyAlignment="1" applyProtection="1" pivotButton="0" quotePrefix="0" xfId="0">
      <alignment horizontal="center" vertical="center" wrapText="1"/>
      <protection locked="0" hidden="0"/>
    </xf>
    <xf numFmtId="0" fontId="8" fillId="3" borderId="33" applyAlignment="1" applyProtection="1" pivotButton="0" quotePrefix="0" xfId="0">
      <alignment horizontal="center" vertical="center" wrapText="1"/>
      <protection locked="0" hidden="0"/>
    </xf>
    <xf numFmtId="0" fontId="8" fillId="3" borderId="25" applyAlignment="1" applyProtection="1" pivotButton="0" quotePrefix="0" xfId="0">
      <alignment horizontal="center" vertical="center" wrapText="1"/>
      <protection locked="0" hidden="0"/>
    </xf>
    <xf numFmtId="0" fontId="19" fillId="3" borderId="1" applyAlignment="1" applyProtection="1" pivotButton="0" quotePrefix="0" xfId="0">
      <alignment horizontal="center" vertical="center" wrapText="1"/>
      <protection locked="0" hidden="0"/>
    </xf>
    <xf numFmtId="0" fontId="19" fillId="3" borderId="4" applyAlignment="1" applyProtection="1" pivotButton="0" quotePrefix="0" xfId="0">
      <alignment horizontal="center" vertical="center" wrapText="1"/>
      <protection locked="0" hidden="0"/>
    </xf>
    <xf numFmtId="0" fontId="8" fillId="3" borderId="4" applyAlignment="1" pivotButton="0" quotePrefix="0" xfId="0">
      <alignment horizontal="left" vertical="center" wrapText="1"/>
    </xf>
    <xf numFmtId="0" fontId="8" fillId="3" borderId="3" applyAlignment="1" pivotButton="0" quotePrefix="0" xfId="0">
      <alignment horizontal="left" vertical="center" wrapText="1"/>
    </xf>
    <xf numFmtId="0" fontId="27" fillId="3" borderId="1" applyAlignment="1" pivotButton="0" quotePrefix="0" xfId="0">
      <alignment horizontal="right" vertical="center" wrapText="1"/>
    </xf>
    <xf numFmtId="0" fontId="27" fillId="3" borderId="4" applyAlignment="1" pivotButton="0" quotePrefix="0" xfId="0">
      <alignment horizontal="right" vertical="center" wrapText="1"/>
    </xf>
    <xf numFmtId="0" fontId="19" fillId="3" borderId="1" applyAlignment="1" pivotButton="0" quotePrefix="0" xfId="0">
      <alignment horizontal="right" vertical="center" wrapText="1"/>
    </xf>
    <xf numFmtId="0" fontId="19" fillId="3" borderId="4" applyAlignment="1" pivotButton="0" quotePrefix="0" xfId="0">
      <alignment horizontal="right" vertical="center" wrapText="1"/>
    </xf>
    <xf numFmtId="0" fontId="19" fillId="3" borderId="3" applyAlignment="1" pivotButton="0" quotePrefix="0" xfId="0">
      <alignment horizontal="right" vertical="center" wrapText="1"/>
    </xf>
    <xf numFmtId="0" fontId="13" fillId="3" borderId="4" applyAlignment="1" pivotButton="0" quotePrefix="0" xfId="0">
      <alignment horizontal="left" vertical="center" wrapText="1"/>
    </xf>
    <xf numFmtId="0" fontId="13" fillId="3" borderId="3" applyAlignment="1" pivotButton="0" quotePrefix="0" xfId="0">
      <alignment horizontal="left" vertical="center" wrapText="1"/>
    </xf>
    <xf numFmtId="0" fontId="8" fillId="3" borderId="1" applyAlignment="1" pivotButton="0" quotePrefix="0" xfId="0">
      <alignment horizontal="left" vertical="center" wrapText="1"/>
    </xf>
    <xf numFmtId="0" fontId="10" fillId="5" borderId="36" applyAlignment="1" applyProtection="1" pivotButton="0" quotePrefix="0" xfId="0">
      <alignment horizontal="left" vertical="center" wrapText="1"/>
      <protection locked="0" hidden="0"/>
    </xf>
    <xf numFmtId="0" fontId="10" fillId="5" borderId="25" applyAlignment="1" applyProtection="1" pivotButton="0" quotePrefix="0" xfId="0">
      <alignment horizontal="left" vertical="center" wrapText="1"/>
      <protection locked="0" hidden="0"/>
    </xf>
    <xf numFmtId="0" fontId="10" fillId="5" borderId="26" applyAlignment="1" applyProtection="1" pivotButton="0" quotePrefix="0" xfId="0">
      <alignment horizontal="left" vertical="center" wrapText="1"/>
      <protection locked="0" hidden="0"/>
    </xf>
    <xf numFmtId="0" fontId="8" fillId="3" borderId="32" applyAlignment="1" applyProtection="1" pivotButton="0" quotePrefix="0" xfId="0">
      <alignment horizontal="center" vertical="center" wrapText="1"/>
      <protection locked="0" hidden="0"/>
    </xf>
    <xf numFmtId="0" fontId="8" fillId="3" borderId="26" applyAlignment="1" applyProtection="1" pivotButton="0" quotePrefix="0" xfId="0">
      <alignment horizontal="center" vertical="center" wrapText="1"/>
      <protection locked="0" hidden="0"/>
    </xf>
    <xf numFmtId="0" fontId="8" fillId="3" borderId="8" applyAlignment="1" applyProtection="1" pivotButton="0" quotePrefix="0" xfId="0">
      <alignment horizontal="left" vertical="top" wrapText="1"/>
      <protection locked="0" hidden="0"/>
    </xf>
    <xf numFmtId="0" fontId="8" fillId="3" borderId="29" applyAlignment="1" applyProtection="1" pivotButton="0" quotePrefix="0" xfId="0">
      <alignment horizontal="left" vertical="top" wrapText="1"/>
      <protection locked="0" hidden="0"/>
    </xf>
    <xf numFmtId="0" fontId="8" fillId="5" borderId="5" applyAlignment="1" pivotButton="0" quotePrefix="0" xfId="0">
      <alignment horizontal="center"/>
    </xf>
    <xf numFmtId="0" fontId="0" fillId="0" borderId="4" pivotButton="0" quotePrefix="0" xfId="0"/>
    <xf numFmtId="0" fontId="0" fillId="0" borderId="3" pivotButton="0" quotePrefix="0" xfId="0"/>
    <xf numFmtId="0" fontId="8" fillId="5" borderId="5" applyAlignment="1" pivotButton="0" quotePrefix="0" xfId="0">
      <alignment horizontal="center" wrapText="1"/>
    </xf>
    <xf numFmtId="0" fontId="8" fillId="2" borderId="5" applyAlignment="1" pivotButton="0" quotePrefix="0" xfId="0">
      <alignment horizontal="center" wrapText="1"/>
    </xf>
    <xf numFmtId="0" fontId="11" fillId="6" borderId="5" applyAlignment="1" pivotButton="0" quotePrefix="0" xfId="0">
      <alignment horizontal="center" vertical="top" wrapText="1"/>
    </xf>
    <xf numFmtId="0" fontId="0" fillId="0" borderId="29" pivotButton="0" quotePrefix="0" xfId="0"/>
    <xf numFmtId="0" fontId="10" fillId="5" borderId="5" applyAlignment="1" pivotButton="0" quotePrefix="0" xfId="0">
      <alignment horizontal="left" vertical="center" wrapText="1"/>
    </xf>
    <xf numFmtId="0" fontId="10" fillId="5" borderId="43" applyAlignment="1" applyProtection="1" pivotButton="0" quotePrefix="0" xfId="0">
      <alignment horizontal="left" vertical="center" wrapText="1"/>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17" fillId="3" borderId="5" applyAlignment="1" applyProtection="1" pivotButton="0" quotePrefix="0" xfId="0">
      <alignment horizontal="center" vertical="center" wrapText="1"/>
      <protection locked="0" hidden="0"/>
    </xf>
    <xf numFmtId="0" fontId="0" fillId="0" borderId="3" applyProtection="1" pivotButton="0" quotePrefix="0" xfId="0">
      <protection locked="0" hidden="0"/>
    </xf>
    <xf numFmtId="0" fontId="17" fillId="0" borderId="5" applyAlignment="1" applyProtection="1" pivotButton="0" quotePrefix="0" xfId="0">
      <alignment horizontal="center" vertical="center" wrapText="1"/>
      <protection locked="0" hidden="0"/>
    </xf>
    <xf numFmtId="0" fontId="17" fillId="0" borderId="5" applyAlignment="1" pivotButton="0" quotePrefix="0" xfId="0">
      <alignment horizontal="center" vertical="center" wrapText="1"/>
    </xf>
    <xf numFmtId="0" fontId="21" fillId="3" borderId="5" applyAlignment="1" pivotButton="0" quotePrefix="0" xfId="0">
      <alignment horizontal="left" wrapText="1"/>
    </xf>
    <xf numFmtId="0" fontId="20" fillId="3" borderId="1" applyAlignment="1" pivotButton="0" quotePrefix="0" xfId="0">
      <alignment horizontal="center" vertical="center" wrapText="1"/>
    </xf>
    <xf numFmtId="0" fontId="0" fillId="0" borderId="30" pivotButton="0" quotePrefix="0" xfId="0"/>
    <xf numFmtId="0" fontId="0" fillId="0" borderId="33" pivotButton="0" quotePrefix="0" xfId="0"/>
    <xf numFmtId="0" fontId="0" fillId="0" borderId="8" applyProtection="1" pivotButton="0" quotePrefix="0" xfId="0">
      <protection locked="0" hidden="0"/>
    </xf>
    <xf numFmtId="0" fontId="0" fillId="0" borderId="8" pivotButton="0" quotePrefix="0" xfId="0"/>
    <xf numFmtId="0" fontId="0" fillId="0" borderId="29" applyProtection="1" pivotButton="0" quotePrefix="0" xfId="0">
      <protection locked="0" hidden="0"/>
    </xf>
    <xf numFmtId="0" fontId="19" fillId="3" borderId="5" applyAlignment="1" pivotButton="0" quotePrefix="0" xfId="0">
      <alignment horizontal="right" vertical="center" wrapText="1"/>
    </xf>
    <xf numFmtId="0" fontId="8" fillId="3" borderId="1" applyAlignment="1" applyProtection="1" pivotButton="0" quotePrefix="0" xfId="0">
      <alignment horizontal="center" vertical="center" wrapText="1"/>
      <protection locked="0" hidden="0"/>
    </xf>
    <xf numFmtId="0" fontId="0" fillId="0" borderId="6"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33" applyProtection="1" pivotButton="0" quotePrefix="0" xfId="0">
      <protection locked="0" hidden="0"/>
    </xf>
    <xf numFmtId="0" fontId="0" fillId="0" borderId="4" applyProtection="1" pivotButton="0" quotePrefix="0" xfId="0">
      <protection locked="0" hidden="0"/>
    </xf>
    <xf numFmtId="0" fontId="15" fillId="2" borderId="5" applyAlignment="1" pivotButton="0" quotePrefix="0" xfId="0">
      <alignment horizontal="left" wrapText="1"/>
    </xf>
    <xf numFmtId="0" fontId="0" fillId="0" borderId="32" applyProtection="1" pivotButton="0" quotePrefix="0" xfId="0">
      <protection locked="0" hidden="0"/>
    </xf>
    <xf numFmtId="0" fontId="8" fillId="3" borderId="5" applyAlignment="1" pivotButton="0" quotePrefix="0" xfId="0">
      <alignment horizontal="left" vertical="center" wrapText="1"/>
    </xf>
    <xf numFmtId="166" fontId="13" fillId="3" borderId="5" applyAlignment="1" pivotButton="0" quotePrefix="0" xfId="0">
      <alignment horizontal="center" vertical="center" wrapText="1"/>
    </xf>
    <xf numFmtId="0" fontId="22" fillId="2" borderId="5" applyAlignment="1" pivotButton="0" quotePrefix="0" xfId="0">
      <alignment horizontal="left" vertical="center" wrapText="1"/>
    </xf>
    <xf numFmtId="164" fontId="0" fillId="0" borderId="0" applyAlignment="1" pivotButton="0" quotePrefix="1" xfId="0">
      <alignment horizontal="right"/>
    </xf>
    <xf numFmtId="164" fontId="0" fillId="0" borderId="0" applyAlignment="1" pivotButton="0" quotePrefix="0" xfId="0">
      <alignment horizontal="right"/>
    </xf>
    <xf numFmtId="167" fontId="29" fillId="0" borderId="20" applyAlignment="1" pivotButton="0" quotePrefix="0" xfId="3">
      <alignment vertical="center"/>
    </xf>
    <xf numFmtId="167" fontId="29" fillId="0" borderId="20" applyAlignment="1" pivotButton="0" quotePrefix="0" xfId="3">
      <alignment horizontal="center" vertical="center"/>
    </xf>
    <xf numFmtId="0" fontId="34" fillId="0" borderId="0" pivotButton="0" quotePrefix="0" xfId="0"/>
    <xf numFmtId="0" fontId="35" fillId="8" borderId="44" applyAlignment="1" pivotButton="0" quotePrefix="0" xfId="0">
      <alignment horizontal="center" vertical="center" wrapText="1"/>
    </xf>
    <xf numFmtId="0" fontId="0" fillId="0" borderId="44" applyAlignment="1" pivotButton="0" quotePrefix="0" xfId="0">
      <alignment vertical="top" wrapText="1"/>
    </xf>
    <xf numFmtId="0" fontId="36" fillId="0" borderId="0" applyAlignment="1" pivotButton="0" quotePrefix="0" xfId="0">
      <alignment wrapText="1"/>
    </xf>
  </cellXfs>
  <cellStyles count="4">
    <cellStyle name="Standard" xfId="0" builtinId="0"/>
    <cellStyle name="Währung" xfId="1" builtinId="4"/>
    <cellStyle name="Prozent" xfId="2" builtinId="5"/>
    <cellStyle name="Komma" xfId="3" builtinId="3"/>
  </cellStyles>
  <dxfs count="52">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ont>
        <color auto="1"/>
      </font>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33.emf"/><Relationship Id="rId18" Type="http://schemas.openxmlformats.org/officeDocument/2006/relationships/image" Target="../media/image28.emf"/><Relationship Id="rId26" Type="http://schemas.openxmlformats.org/officeDocument/2006/relationships/image" Target="../media/image20.emf"/><Relationship Id="rId39" Type="http://schemas.openxmlformats.org/officeDocument/2006/relationships/image" Target="../media/image7.emf"/><Relationship Id="rId3" Type="http://schemas.openxmlformats.org/officeDocument/2006/relationships/image" Target="../media/image44.emf"/><Relationship Id="rId21" Type="http://schemas.openxmlformats.org/officeDocument/2006/relationships/image" Target="../media/image25.emf"/><Relationship Id="rId34" Type="http://schemas.openxmlformats.org/officeDocument/2006/relationships/image" Target="../media/image12.emf"/><Relationship Id="rId42" Type="http://schemas.openxmlformats.org/officeDocument/2006/relationships/image" Target="../media/image4.emf"/><Relationship Id="rId7" Type="http://schemas.openxmlformats.org/officeDocument/2006/relationships/image" Target="../media/image39.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21.emf"/><Relationship Id="rId33" Type="http://schemas.openxmlformats.org/officeDocument/2006/relationships/image" Target="../media/image13.emf"/><Relationship Id="rId38" Type="http://schemas.openxmlformats.org/officeDocument/2006/relationships/image" Target="../media/image8.emf"/><Relationship Id="rId2" Type="http://schemas.openxmlformats.org/officeDocument/2006/relationships/image" Target="../media/image43.emf"/><Relationship Id="rId16" Type="http://schemas.openxmlformats.org/officeDocument/2006/relationships/image" Target="../media/image30.emf"/><Relationship Id="rId20" Type="http://schemas.openxmlformats.org/officeDocument/2006/relationships/image" Target="../media/image26.emf"/><Relationship Id="rId29" Type="http://schemas.openxmlformats.org/officeDocument/2006/relationships/image" Target="../media/image17.emf"/><Relationship Id="rId41" Type="http://schemas.openxmlformats.org/officeDocument/2006/relationships/image" Target="../media/image5.emf"/><Relationship Id="rId1" Type="http://schemas.openxmlformats.org/officeDocument/2006/relationships/image" Target="../media/image45.emf"/><Relationship Id="rId6" Type="http://schemas.openxmlformats.org/officeDocument/2006/relationships/image" Target="../media/image40.emf"/><Relationship Id="rId11" Type="http://schemas.openxmlformats.org/officeDocument/2006/relationships/image" Target="../media/image35.emf"/><Relationship Id="rId24" Type="http://schemas.openxmlformats.org/officeDocument/2006/relationships/image" Target="../media/image23.emf"/><Relationship Id="rId32" Type="http://schemas.openxmlformats.org/officeDocument/2006/relationships/image" Target="../media/image14.emf"/><Relationship Id="rId37" Type="http://schemas.openxmlformats.org/officeDocument/2006/relationships/image" Target="../media/image9.emf"/><Relationship Id="rId40" Type="http://schemas.openxmlformats.org/officeDocument/2006/relationships/image" Target="../media/image6.emf"/><Relationship Id="rId45" Type="http://schemas.openxmlformats.org/officeDocument/2006/relationships/image" Target="../media/image1.emf"/><Relationship Id="rId5" Type="http://schemas.openxmlformats.org/officeDocument/2006/relationships/image" Target="../media/image41.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18.emf"/><Relationship Id="rId36" Type="http://schemas.openxmlformats.org/officeDocument/2006/relationships/image" Target="../media/image10.emf"/><Relationship Id="rId10" Type="http://schemas.openxmlformats.org/officeDocument/2006/relationships/image" Target="../media/image36.emf"/><Relationship Id="rId19" Type="http://schemas.openxmlformats.org/officeDocument/2006/relationships/image" Target="../media/image27.emf"/><Relationship Id="rId31" Type="http://schemas.openxmlformats.org/officeDocument/2006/relationships/image" Target="../media/image15.emf"/><Relationship Id="rId44" Type="http://schemas.openxmlformats.org/officeDocument/2006/relationships/image" Target="../media/image2.emf"/><Relationship Id="rId4" Type="http://schemas.openxmlformats.org/officeDocument/2006/relationships/image" Target="../media/image42.emf"/><Relationship Id="rId9" Type="http://schemas.openxmlformats.org/officeDocument/2006/relationships/image" Target="../media/image37.emf"/><Relationship Id="rId14" Type="http://schemas.openxmlformats.org/officeDocument/2006/relationships/image" Target="../media/image32.emf"/><Relationship Id="rId22" Type="http://schemas.openxmlformats.org/officeDocument/2006/relationships/image" Target="../media/image22.emf"/><Relationship Id="rId27" Type="http://schemas.openxmlformats.org/officeDocument/2006/relationships/image" Target="../media/image19.emf"/><Relationship Id="rId30" Type="http://schemas.openxmlformats.org/officeDocument/2006/relationships/image" Target="../media/image16.emf"/><Relationship Id="rId35" Type="http://schemas.openxmlformats.org/officeDocument/2006/relationships/image" Target="../media/image11.emf"/><Relationship Id="rId43" Type="http://schemas.openxmlformats.org/officeDocument/2006/relationships/image" Target="../media/image3.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sheetPr>
  <dimension ref="A1:S169"/>
  <sheetViews>
    <sheetView tabSelected="1" showWhiteSpace="0" topLeftCell="A11" zoomScale="110" zoomScaleNormal="110" zoomScalePageLayoutView="140" workbookViewId="0">
      <selection activeCell="A4" sqref="A4:E4"/>
    </sheetView>
  </sheetViews>
  <sheetFormatPr baseColWidth="10" defaultColWidth="0" defaultRowHeight="15" zeroHeight="1" outlineLevelRow="1"/>
  <cols>
    <col width="13.7109375" customWidth="1" style="12" min="1" max="7"/>
    <col width="1.7109375" customWidth="1" style="13" min="8" max="8"/>
    <col hidden="1" width="45.7109375" customWidth="1" style="13" min="9" max="9"/>
    <col hidden="1" width="11.42578125" customWidth="1" style="12" min="10" max="10"/>
    <col hidden="1" width="11" customWidth="1" style="12" min="11" max="11"/>
    <col hidden="1" width="11.42578125" customWidth="1" style="12" min="12" max="15"/>
    <col hidden="1" width="14" customWidth="1" style="12" min="16" max="16"/>
    <col hidden="1" width="16.42578125" customWidth="1" style="12" min="17" max="17"/>
    <col hidden="1" width="11.42578125" customWidth="1" style="12" min="18" max="16384"/>
  </cols>
  <sheetData>
    <row r="1" ht="18" customHeight="1" s="12" thickBot="1">
      <c r="A1" s="235" t="inlineStr">
        <is>
          <t>Zum Öffnen der allgemeinen Hinweise bitte links am Rand auf das "+" Symbol klicken</t>
        </is>
      </c>
      <c r="B1" s="236" t="n"/>
      <c r="C1" s="236" t="n"/>
      <c r="D1" s="236" t="n"/>
      <c r="E1" s="236" t="n"/>
      <c r="F1" s="236" t="n"/>
      <c r="G1" s="237" t="n"/>
      <c r="H1" s="16">
        <f>IF(AND(D90="",E90="",F90="",G90=""),"",IF(MIN(D112:G112)&lt;0,MAX(D112:G112),""))</f>
        <v/>
      </c>
      <c r="I1" s="16" t="n"/>
      <c r="S1">
        <f t="array" ref="S1:S122">""</f>
        <v/>
      </c>
    </row>
    <row r="2" hidden="1" outlineLevel="1" ht="222.75" customHeight="1" s="12" thickBot="1">
      <c r="A2" s="238" t="inlineStr">
        <is>
          <t>Dieses Template ist ein Hilfsmittel für die angemessene Dokumentation von Wirtschaftlichkeitsuntersuchungen zu finanzwirksamen Maßnahmen in Form einer externen Leistungserbringung, sofern die Maßnahme die folgenden Voraussetzungen erfüllt:
- Es handelt sich grundsätzlich um eine unterjährige finanzwirksame Maßnahme.
- Es handelt sich um einen einmaligen, nicht wiederkehrenden Bedarf.
- Zudem sollte die WU einen geringen Komplexitätsgrad aufweisen und daraus 
resultierend einen geringen Dokumentationsumfang zur Nachvollziehbarkeit benötigen.
Davon unbenommen ist die Durchführung einer umfassenden (übergreifenden) WU, 
sollte ein dauerhafter wiederkehrender Bedarf an externen Leistungen bestehen. 
KompZWUBw regt in diesen Fällen an, an jeweils zentraler Stelle eine übergreifende WU durchzuführen. 
Bei überjährigen Maßnahmen sind ggf. auch die OrgReferate zu beteiligen.</t>
        </is>
      </c>
      <c r="B2" s="236" t="n"/>
      <c r="C2" s="236" t="n"/>
      <c r="D2" s="236" t="n"/>
      <c r="E2" s="236" t="n"/>
      <c r="F2" s="236" t="n"/>
      <c r="G2" s="237" t="n"/>
      <c r="H2" s="16" t="n"/>
      <c r="I2" s="16" t="n"/>
    </row>
    <row r="3" collapsed="1" ht="35.1" customHeight="1" s="12" thickBot="1">
      <c r="A3" s="239" t="inlineStr">
        <is>
          <t>Für die weitere Bearbeitung dieser Vorlage sind bitte alle grau hinterlegten Felder auszufüllen.
Das Einfügen von weiteren Zeilen ist in diesem Template NICHT vorgesehen.</t>
        </is>
      </c>
      <c r="B3" s="236" t="n"/>
      <c r="C3" s="236" t="n"/>
      <c r="D3" s="236" t="n"/>
      <c r="E3" s="236" t="n"/>
      <c r="F3" s="236" t="n"/>
      <c r="G3" s="237" t="n"/>
      <c r="H3" s="16" t="n"/>
      <c r="I3" s="16" t="n"/>
    </row>
    <row r="4" ht="69" customHeight="1" s="12" thickBot="1">
      <c r="A4" s="195" t="inlineStr">
        <is>
          <t>Wirtschaftlichkeitsuntersuchung 
für die Inanspruchnahme einer 
externen Leistungserbringung</t>
        </is>
      </c>
      <c r="B4" s="236" t="n"/>
      <c r="C4" s="236" t="n"/>
      <c r="D4" s="236" t="n"/>
      <c r="E4" s="236" t="n"/>
      <c r="F4" s="240" t="inlineStr">
        <is>
          <t>offen
Version: 1</t>
        </is>
      </c>
      <c r="G4" s="237" t="n"/>
      <c r="H4" s="16" t="n"/>
      <c r="I4" s="16" t="n"/>
    </row>
    <row r="5" ht="52.5" customHeight="1" s="12" thickBot="1">
      <c r="A5" s="164" t="inlineStr">
        <is>
          <t>Dienststelle/
OrgEinheit:</t>
        </is>
      </c>
      <c r="B5" s="17" t="inlineStr">
        <is>
          <t>BwDLZ Wilhelmshaven</t>
        </is>
      </c>
      <c r="C5" s="165" t="inlineStr">
        <is>
          <t>Maßnahmen-verantwortlicher:</t>
        </is>
      </c>
      <c r="D5" s="166" t="inlineStr">
        <is>
          <t>Thorsten Ritter</t>
        </is>
      </c>
      <c r="E5" s="165" t="inlineStr">
        <is>
          <t>Durchführungs-verantwortlicher (Bearbeiter):</t>
        </is>
      </c>
      <c r="F5" s="167" t="inlineStr">
        <is>
          <t>Philipp Lukas</t>
        </is>
      </c>
      <c r="G5" s="165" t="inlineStr">
        <is>
          <t xml:space="preserve">Art der Maßnahme:
einmalig, unterjährig </t>
        </is>
      </c>
      <c r="H5" s="16" t="n"/>
      <c r="I5" s="137" t="n"/>
    </row>
    <row r="6" ht="52.15" customHeight="1" s="12" thickBot="1">
      <c r="A6" s="164" t="inlineStr">
        <is>
          <t>Datum der
Erstellung:</t>
        </is>
      </c>
      <c r="B6" s="19" t="n">
        <v>46128</v>
      </c>
      <c r="C6" s="20" t="inlineStr">
        <is>
          <t>Beginn der 
Maßnahme:</t>
        </is>
      </c>
      <c r="D6" s="21" t="n">
        <v>46174</v>
      </c>
      <c r="E6" s="165" t="inlineStr">
        <is>
          <t>Ende der Maßnahme:</t>
        </is>
      </c>
      <c r="F6" s="21" t="n">
        <v>46203</v>
      </c>
      <c r="G6" s="241" t="n"/>
      <c r="H6" s="16" t="n"/>
      <c r="I6" s="133" t="inlineStr">
        <is>
          <t>Hinweise zur Dokumentenkopfzeile</t>
        </is>
      </c>
    </row>
    <row r="7" ht="20.1" customHeight="1" s="12" thickBot="1">
      <c r="A7" s="242" t="inlineStr">
        <is>
          <t>1. Bedarf</t>
        </is>
      </c>
      <c r="B7" s="236" t="n"/>
      <c r="C7" s="236" t="n"/>
      <c r="D7" s="236" t="n"/>
      <c r="E7" s="236" t="n"/>
      <c r="F7" s="236" t="n"/>
      <c r="G7" s="237" t="n"/>
      <c r="H7" s="16" t="n"/>
      <c r="I7" s="16" t="n"/>
    </row>
    <row r="8" ht="20.1" customHeight="1" s="12" thickBot="1">
      <c r="A8" s="242" t="inlineStr">
        <is>
          <t>1.1 Bedarfsforderung</t>
        </is>
      </c>
      <c r="B8" s="236" t="n"/>
      <c r="C8" s="236" t="n"/>
      <c r="D8" s="236" t="n"/>
      <c r="E8" s="236" t="n"/>
      <c r="F8" s="236" t="n"/>
      <c r="G8" s="237" t="n"/>
      <c r="H8" s="16" t="n"/>
      <c r="I8" s="133" t="inlineStr">
        <is>
          <t xml:space="preserve">Hinweise zur Bedarfsforderung </t>
        </is>
      </c>
    </row>
    <row r="9" ht="52.5" customHeight="1" s="12" thickBot="1">
      <c r="A9" s="22" t="inlineStr">
        <is>
          <t>Bezeichnung 
der benötigten Leistung:</t>
        </is>
      </c>
      <c r="B9" s="65" t="inlineStr">
        <is>
          <t>Einmalige Reinigungsdienstleistung für die Tartanbahn am Sportplatz des BwDLZ Wilhelmshaven</t>
        </is>
      </c>
      <c r="C9" s="23" t="n"/>
      <c r="D9" s="23" t="n"/>
      <c r="E9" s="23" t="n"/>
      <c r="F9" s="23" t="n"/>
      <c r="G9" s="167" t="n"/>
      <c r="H9" s="16" t="n"/>
      <c r="I9" s="16" t="n"/>
      <c r="N9">
        <f>COLUMN(B9)</f>
        <v/>
      </c>
    </row>
    <row r="10" hidden="1" ht="20.25" customHeight="1" s="12" thickBot="1">
      <c r="A10" s="22" t="n"/>
      <c r="B10" s="25" t="n"/>
      <c r="C10" s="23" t="n"/>
      <c r="D10" s="23" t="n"/>
      <c r="E10" s="23" t="n"/>
      <c r="F10" s="23" t="n"/>
      <c r="G10" s="167" t="n"/>
      <c r="H10" s="16" t="n"/>
      <c r="I10" s="16" t="n"/>
    </row>
    <row r="11" ht="69.75" customHeight="1" s="12" thickBot="1">
      <c r="A11" s="22" t="inlineStr">
        <is>
          <t>Beschreibung und Zielsetzung der benötigten Leistung:</t>
        </is>
      </c>
      <c r="B11" s="26" t="inlineStr">
        <is>
          <t>Die ca. 4.200 m² große Tartanbahn auf dem bundeswehreigenen Sportplatz des BwDLZ Wilhelmshaven weist Verschmutzungen auf, die eine sichere und ordnungsgemäße Nutzung der Sportanlage beeinträchtigen. Ziel der Maßnahme ist die professionelle Einmalreinigung der gesamten Tartanbelagsfläche, sodass der Sportplatz wieder uneingeschränkt für den Dienstsport und den allgemeinen Sportbetrieb der Liegenschaft genutzt werden kann. Die Leistung ist einmalig im Juni 2026 zu erbringen.</t>
        </is>
      </c>
      <c r="C11" s="23" t="n"/>
      <c r="D11" s="23" t="n"/>
      <c r="E11" s="23" t="n"/>
      <c r="F11" s="23" t="n"/>
      <c r="G11" s="167" t="n"/>
      <c r="H11" s="16" t="n"/>
      <c r="I11" s="16" t="n"/>
      <c r="N11">
        <f>COLUMN(B11)</f>
        <v/>
      </c>
    </row>
    <row r="12" hidden="1" ht="6.75" customHeight="1" s="12" thickBot="1">
      <c r="A12" s="22" t="n"/>
      <c r="B12" s="25" t="n"/>
      <c r="C12" s="23" t="n"/>
      <c r="D12" s="23" t="n"/>
      <c r="E12" s="23" t="n"/>
      <c r="F12" s="23" t="n"/>
      <c r="G12" s="167" t="n"/>
      <c r="H12" s="16" t="n"/>
      <c r="I12" s="16" t="n"/>
      <c r="N12">
        <f>COLUMN(B12)</f>
        <v/>
      </c>
    </row>
    <row r="13" ht="20.1" customHeight="1" s="12" thickBot="1">
      <c r="A13" s="243" t="inlineStr">
        <is>
          <t>1.2 Rahmenbedingungen (RB):</t>
        </is>
      </c>
      <c r="B13" s="244" t="n"/>
      <c r="C13" s="244" t="n"/>
      <c r="D13" s="244" t="n"/>
      <c r="E13" s="244" t="n"/>
      <c r="F13" s="244" t="n"/>
      <c r="G13" s="245" t="n"/>
      <c r="H13" s="16" t="n"/>
      <c r="I13" s="133" t="inlineStr">
        <is>
          <t>Hinweise zu den Rahmenbedingungen</t>
        </is>
      </c>
    </row>
    <row r="14" ht="18" customHeight="1" s="12" thickBot="1">
      <c r="A14" s="210" t="n">
        <v>1</v>
      </c>
      <c r="B14" s="246" t="n"/>
      <c r="C14" s="247" t="n"/>
      <c r="D14" s="28" t="inlineStr">
        <is>
          <t>Die Reinigung von Tartanbelägen erfordert Spezialgeräte, die beim BwDLZ Wilhelmshaven nicht vorhanden sind. Benötigt werden Hochdruckreinigungsgeräte mit 200-310 bar Wasserdruck sowie integrierter Schmutzwasserabsaugung. Handelsübliche Hochdruckreiniger (z. B. Kärcher HD 5/15 C, ca. 2.849 EUR netto, siehe Anlage Marktrecherche, Nr. 2) verfügen nicht über die erforderliche Schmutzwasserabsaugung und würden den Kunststoffbelag beschädigen. Das notwendige Spezialgerät ist im Fachhandel nicht erhältlich und wird ausschließlich von spezialisierten Unternehmen betrieben. Eine Beschaffung für einmaligen Einsatz wäre wirtschaftlich nicht vertretbar. Option 1 scheidet daher aus.</t>
        </is>
      </c>
      <c r="E14" s="29" t="n"/>
      <c r="F14" s="29" t="n"/>
      <c r="G14" s="30" t="n"/>
      <c r="H14" s="16" t="n"/>
      <c r="I14" s="16" t="n"/>
      <c r="N14">
        <f>COLUMN(D14)</f>
        <v/>
      </c>
    </row>
    <row r="15" hidden="1" ht="18" customHeight="1" s="12" thickBot="1">
      <c r="A15" s="31" t="n">
        <v>2</v>
      </c>
      <c r="B15" s="248" t="n"/>
      <c r="C15" s="247" t="n"/>
      <c r="D15" s="28" t="n"/>
      <c r="E15" s="29" t="n"/>
      <c r="F15" s="29" t="n"/>
      <c r="G15" s="30" t="n"/>
      <c r="H15" s="16" t="n"/>
      <c r="I15" s="16" t="n"/>
      <c r="N15">
        <f>COLUMN(D15)</f>
        <v/>
      </c>
    </row>
    <row r="16" hidden="1" ht="18" customHeight="1" s="12" thickBot="1">
      <c r="A16" s="165" t="n">
        <v>3</v>
      </c>
      <c r="B16" s="249" t="n"/>
      <c r="C16" s="237" t="n"/>
      <c r="D16" s="28" t="n"/>
      <c r="E16" s="29" t="n"/>
      <c r="F16" s="29" t="n"/>
      <c r="G16" s="30" t="n"/>
      <c r="H16" s="16" t="n"/>
      <c r="I16" s="16" t="n"/>
      <c r="N16">
        <f>COLUMN(D16)</f>
        <v/>
      </c>
    </row>
    <row r="17" hidden="1" ht="18" customHeight="1" s="12" thickBot="1">
      <c r="A17" s="165" t="n">
        <v>4</v>
      </c>
      <c r="B17" s="249" t="n"/>
      <c r="C17" s="237" t="n"/>
      <c r="D17" s="28" t="n"/>
      <c r="E17" s="29" t="n"/>
      <c r="F17" s="29" t="n"/>
      <c r="G17" s="30" t="n"/>
      <c r="H17" s="16" t="n"/>
      <c r="I17" s="16" t="n"/>
      <c r="N17">
        <f>COLUMN(D17)</f>
        <v/>
      </c>
    </row>
    <row r="18" hidden="1" ht="18" customHeight="1" s="12" thickBot="1">
      <c r="A18" s="165" t="n">
        <v>5</v>
      </c>
      <c r="B18" s="249" t="n"/>
      <c r="C18" s="237" t="n"/>
      <c r="D18" s="28" t="n"/>
      <c r="E18" s="29" t="n"/>
      <c r="F18" s="29" t="n"/>
      <c r="G18" s="30" t="n"/>
      <c r="H18" s="16" t="n"/>
      <c r="I18" s="16" t="n"/>
      <c r="N18">
        <f>COLUMN(D18)</f>
        <v/>
      </c>
    </row>
    <row r="19" ht="20.1" customHeight="1" s="12" thickBot="1">
      <c r="A19" s="242" t="inlineStr">
        <is>
          <t>2. Ausgangslage</t>
        </is>
      </c>
      <c r="B19" s="236" t="n"/>
      <c r="C19" s="236" t="n"/>
      <c r="D19" s="236" t="n"/>
      <c r="E19" s="236" t="n"/>
      <c r="F19" s="236" t="n"/>
      <c r="G19" s="237" t="n"/>
      <c r="H19" s="16" t="n"/>
      <c r="I19" s="16" t="n"/>
    </row>
    <row r="20" ht="18" customHeight="1" s="12" thickBot="1">
      <c r="A20" s="26" t="inlineStr">
        <is>
          <t>Die ca. 4.200 m² große Tartanbahn auf dem Sportplatz des BwDLZ Wilhelmshaven weist derzeit einen stark verschmutzten Zustand auf. Die Belagsoberfläche ist großflächig mit Moos und Algen bewachsen, was die Nutzungssicherheit und Funktionsfähigkeit der Anlage erheblich beeinträchtigt. Die Reinigung der Tartanbahn wurde bislang durch einmalige Vergaben an externe Dienstleister sichergestellt; ein dauerhafter Reinigungsvertrag besteht nicht.</t>
        </is>
      </c>
      <c r="B20" s="23" t="n"/>
      <c r="C20" s="23" t="n"/>
      <c r="D20" s="23" t="n"/>
      <c r="E20" s="23" t="n"/>
      <c r="F20" s="23" t="n"/>
      <c r="G20" s="33" t="n"/>
      <c r="H20" s="16" t="n"/>
      <c r="I20" s="16" t="n"/>
      <c r="N20">
        <f>COLUMN(A20)</f>
        <v/>
      </c>
    </row>
    <row r="21" ht="20.1" customHeight="1" s="12" thickBot="1">
      <c r="A21" s="242" t="inlineStr">
        <is>
          <t>3. Optionen der Bedarfsdeckung</t>
        </is>
      </c>
      <c r="B21" s="236" t="n"/>
      <c r="C21" s="236" t="n"/>
      <c r="D21" s="236" t="n"/>
      <c r="E21" s="236" t="n"/>
      <c r="F21" s="236" t="n"/>
      <c r="G21" s="237" t="n"/>
      <c r="H21" s="16" t="n"/>
      <c r="I21" s="16" t="n"/>
    </row>
    <row r="22" ht="20.1" customHeight="1" s="12" thickBot="1">
      <c r="A22" s="242" t="inlineStr">
        <is>
          <t>3.1 Grundsätzlich mögliche Optionen</t>
        </is>
      </c>
      <c r="B22" s="236" t="n"/>
      <c r="C22" s="236" t="n"/>
      <c r="D22" s="236" t="n"/>
      <c r="E22" s="236" t="n"/>
      <c r="F22" s="236" t="n"/>
      <c r="G22" s="237" t="n"/>
      <c r="H22" s="16" t="n"/>
      <c r="I22" s="133" t="inlineStr">
        <is>
          <t>Hinweise zu den Optionen der Bedarfsdeckung</t>
        </is>
      </c>
    </row>
    <row r="23" ht="21.95" customHeight="1" s="12" thickBot="1">
      <c r="A23" s="34" t="inlineStr">
        <is>
          <t>Option</t>
        </is>
      </c>
      <c r="B23" s="35" t="n">
        <v>1</v>
      </c>
      <c r="C23" s="35" t="n"/>
      <c r="D23" s="180" t="inlineStr">
        <is>
          <t>Leistungserbringung durch die eigene Dienststelle</t>
        </is>
      </c>
      <c r="E23" s="236" t="n"/>
      <c r="F23" s="236" t="n"/>
      <c r="G23" s="237" t="n"/>
      <c r="H23" s="16" t="n"/>
      <c r="I23" s="16" t="n"/>
    </row>
    <row r="24" ht="21.95" customHeight="1" s="12" thickBot="1">
      <c r="A24" s="34" t="inlineStr">
        <is>
          <t>Option</t>
        </is>
      </c>
      <c r="B24" s="35" t="n">
        <v>2</v>
      </c>
      <c r="C24" s="35" t="n"/>
      <c r="D24" s="180" t="inlineStr">
        <is>
          <t>Leistungserbringung durch andere bundeswehrinterne Dienststellen</t>
        </is>
      </c>
      <c r="E24" s="236" t="n"/>
      <c r="F24" s="236" t="n"/>
      <c r="G24" s="237" t="n"/>
      <c r="H24" s="16" t="n"/>
      <c r="I24" s="16" t="n"/>
    </row>
    <row r="25" ht="21.95" customHeight="1" s="12" thickBot="1">
      <c r="A25" s="34" t="inlineStr">
        <is>
          <t>Option</t>
        </is>
      </c>
      <c r="B25" s="35" t="n">
        <v>3</v>
      </c>
      <c r="C25" s="35" t="n"/>
      <c r="D25" s="180" t="inlineStr">
        <is>
          <t>Leistungserbringung durch eine Inhousegesellschaft / Dienststelle eines anderen Ressorts</t>
        </is>
      </c>
      <c r="E25" s="236" t="n"/>
      <c r="F25" s="236" t="n"/>
      <c r="G25" s="237" t="n"/>
      <c r="H25" s="16" t="n"/>
      <c r="I25" s="16" t="n"/>
    </row>
    <row r="26" ht="21.95" customHeight="1" s="12" thickBot="1">
      <c r="A26" s="34" t="inlineStr">
        <is>
          <t>Option</t>
        </is>
      </c>
      <c r="B26" s="36" t="n">
        <v>4</v>
      </c>
      <c r="C26" s="35" t="n"/>
      <c r="D26" s="180" t="inlineStr">
        <is>
          <t>Leistungserbringung durch einen externen Dienstleister</t>
        </is>
      </c>
      <c r="E26" s="236" t="n"/>
      <c r="F26" s="236" t="n"/>
      <c r="G26" s="237" t="n"/>
      <c r="H26" s="16" t="n"/>
      <c r="I26" s="16" t="n"/>
    </row>
    <row r="27" ht="20.1" customHeight="1" s="12" thickBot="1">
      <c r="A27" s="242" t="inlineStr">
        <is>
          <t>3.2 Aussonderung ungeeigneter Optionen</t>
        </is>
      </c>
      <c r="B27" s="236" t="n"/>
      <c r="C27" s="236" t="n"/>
      <c r="D27" s="236" t="n"/>
      <c r="E27" s="236" t="n"/>
      <c r="F27" s="236" t="n"/>
      <c r="G27" s="237" t="n"/>
      <c r="H27" s="16" t="n"/>
      <c r="I27" s="134" t="inlineStr">
        <is>
          <t>Hinweise zur Aussonderung der Optionen</t>
        </is>
      </c>
    </row>
    <row r="28" hidden="1" ht="54.95" customHeight="1" s="12" thickBot="1">
      <c r="A28" s="250" t="n"/>
      <c r="B28" s="155" t="inlineStr">
        <is>
          <t>ist nicht bedarfsdeckend, weil:</t>
        </is>
      </c>
      <c r="C28" s="37" t="n"/>
      <c r="D28" s="152" t="inlineStr">
        <is>
          <t>nicht bedarfsdeckend: Spezialgerät nicht vorhanden, Fachkompetenz fehlt (siehe Rahmenbedingungen)</t>
        </is>
      </c>
      <c r="E28" s="152" t="n"/>
      <c r="F28" s="152" t="n"/>
      <c r="G28" s="153" t="n"/>
      <c r="H28" s="16" t="n"/>
      <c r="I28" s="16" t="n"/>
      <c r="N28">
        <f>COLUMN(C28)</f>
        <v/>
      </c>
    </row>
    <row r="29" hidden="1" ht="54.95" customHeight="1" s="12" thickBot="1">
      <c r="A29" s="241" t="n"/>
      <c r="B29" s="154" t="inlineStr">
        <is>
          <t>verstößt gegen:</t>
        </is>
      </c>
      <c r="C29" s="23" t="n"/>
      <c r="D29" s="23" t="n"/>
      <c r="E29" s="23" t="n"/>
      <c r="F29" s="23" t="n"/>
      <c r="G29" s="167" t="n"/>
      <c r="H29" s="16" t="n"/>
      <c r="I29" s="16" t="n"/>
    </row>
    <row r="30" hidden="1" ht="54.95" customHeight="1" s="12" thickBot="1">
      <c r="A30" s="250" t="n"/>
      <c r="B30" s="156" t="inlineStr">
        <is>
          <t>ist nicht bedarfsdeckend, weil:</t>
        </is>
      </c>
      <c r="C30" s="37" t="n"/>
      <c r="D30" s="152" t="inlineStr">
        <is>
          <t>nicht bedarfsdeckend: keine BW-Dienststelle im Raum Wilhelmshaven verfügt über Spezialausrüstung für Tartanbahnreinigung</t>
        </is>
      </c>
      <c r="E30" s="152" t="n"/>
      <c r="F30" s="152" t="n"/>
      <c r="G30" s="153" t="n"/>
      <c r="H30" s="16" t="n"/>
      <c r="I30" s="16" t="n"/>
      <c r="N30">
        <f>COLUMN(C30)</f>
        <v/>
      </c>
    </row>
    <row r="31" hidden="1" ht="54.95" customHeight="1" s="12" thickBot="1">
      <c r="A31" s="241" t="n"/>
      <c r="B31" s="154" t="inlineStr">
        <is>
          <t>verstößt gegen:</t>
        </is>
      </c>
      <c r="C31" s="23" t="n"/>
      <c r="D31" s="23" t="n"/>
      <c r="E31" s="23" t="n"/>
      <c r="F31" s="23" t="n"/>
      <c r="G31" s="167" t="n"/>
      <c r="H31" s="16" t="n"/>
      <c r="I31" s="16" t="n"/>
    </row>
    <row r="32" hidden="1" ht="54.95" customHeight="1" s="12" thickBot="1">
      <c r="A32" s="250" t="n"/>
      <c r="B32" s="156" t="inlineStr">
        <is>
          <t>ist nicht bedarfsdeckend, weil:</t>
        </is>
      </c>
      <c r="C32" s="37" t="n"/>
      <c r="D32" s="152" t="inlineStr">
        <is>
          <t>nicht bedarfsdeckend: keine Inhousegesellschaft bietet spezialisierte Tartanbahnreinigung an</t>
        </is>
      </c>
      <c r="E32" s="152" t="n"/>
      <c r="F32" s="152" t="n"/>
      <c r="G32" s="153" t="n"/>
      <c r="H32" s="16" t="n"/>
      <c r="I32" s="16" t="n"/>
      <c r="N32">
        <f>COLUMN(C32)</f>
        <v/>
      </c>
    </row>
    <row r="33" hidden="1" ht="54.95" customHeight="1" s="12" thickBot="1">
      <c r="A33" s="241" t="n"/>
      <c r="B33" s="154" t="inlineStr">
        <is>
          <t>verstößt gegen:</t>
        </is>
      </c>
      <c r="C33" s="23" t="n"/>
      <c r="D33" s="23" t="n"/>
      <c r="E33" s="23" t="n"/>
      <c r="F33" s="23" t="n"/>
      <c r="G33" s="167" t="n"/>
      <c r="H33" s="16" t="n"/>
      <c r="I33" s="16" t="n"/>
    </row>
    <row r="34" hidden="1" ht="54.95" customHeight="1" s="12" thickBot="1">
      <c r="A34" s="250" t="n"/>
      <c r="B34" s="156" t="inlineStr">
        <is>
          <t>ist nicht bedarfsdeckend, weil:</t>
        </is>
      </c>
      <c r="C34" s="37" t="n"/>
      <c r="D34" s="152" t="n"/>
      <c r="E34" s="152" t="n"/>
      <c r="F34" s="152" t="n"/>
      <c r="G34" s="153" t="n"/>
      <c r="H34" s="16" t="n"/>
      <c r="I34" s="16" t="n"/>
      <c r="N34">
        <f>COLUMN(C34)</f>
        <v/>
      </c>
    </row>
    <row r="35" hidden="1" ht="54.95" customHeight="1" s="12" thickBot="1">
      <c r="A35" s="241" t="n"/>
      <c r="B35" s="154" t="inlineStr">
        <is>
          <t>verstößt gegen:</t>
        </is>
      </c>
      <c r="C35" s="23" t="n"/>
      <c r="D35" s="23" t="n"/>
      <c r="E35" s="23" t="n"/>
      <c r="F35" s="23" t="n"/>
      <c r="G35" s="167" t="n"/>
      <c r="H35" s="16" t="n"/>
      <c r="I35" s="16" t="n"/>
    </row>
    <row r="36" ht="20.1" customHeight="1" s="12" thickBot="1">
      <c r="A36" s="242" t="inlineStr">
        <is>
          <t>3.3 Darstellung geeigneter Optionen</t>
        </is>
      </c>
      <c r="B36" s="236" t="n"/>
      <c r="C36" s="236" t="n"/>
      <c r="D36" s="236" t="n"/>
      <c r="E36" s="236" t="n"/>
      <c r="F36" s="236" t="n"/>
      <c r="G36" s="237" t="n"/>
      <c r="H36" s="16" t="n"/>
      <c r="I36" s="16" t="n"/>
    </row>
    <row r="37" hidden="1" ht="39.75" customHeight="1" s="12" thickBot="1">
      <c r="A37" s="38" t="n"/>
      <c r="B37" s="39" t="n"/>
      <c r="C37" s="117" t="inlineStr">
        <is>
          <t>Bezeichnung der Ausgabe</t>
        </is>
      </c>
      <c r="D37" s="40" t="inlineStr">
        <is>
          <t>Beschreibung 
der Ausgabe</t>
        </is>
      </c>
      <c r="E37" s="40" t="inlineStr">
        <is>
          <t>Anzahl</t>
        </is>
      </c>
      <c r="F37" s="118" t="inlineStr">
        <is>
          <t>VZÄ</t>
        </is>
      </c>
      <c r="G37" s="41" t="inlineStr">
        <is>
          <t>Gesamt</t>
        </is>
      </c>
      <c r="H37" s="16" t="n"/>
      <c r="I37" s="133" t="inlineStr">
        <is>
          <t>Hinweise zur Darstellung der geeigneten Optionen</t>
        </is>
      </c>
    </row>
    <row r="38" hidden="1" ht="35.1" customHeight="1" s="12">
      <c r="A38" s="42" t="n"/>
      <c r="B38" s="43" t="n"/>
      <c r="C38" s="119" t="inlineStr">
        <is>
          <t>Tagegeld</t>
        </is>
      </c>
      <c r="D38" s="121" t="n">
        <v>0</v>
      </c>
      <c r="E38" s="123" t="n">
        <v>0</v>
      </c>
      <c r="F38" s="122" t="n">
        <v>0</v>
      </c>
      <c r="G38" s="48">
        <f>IF(AND(D38=0,E38=0),F38,IF(OR(D38="",D38=0),E38*F38,IF(OR(E38="",E38=0),D38*F38,D38*E38*F38)))*-1</f>
        <v/>
      </c>
      <c r="H38" s="16" t="n"/>
      <c r="I38" s="135" t="n"/>
    </row>
    <row r="39" hidden="1" ht="39.95" customHeight="1" s="12">
      <c r="A39" s="157" t="n"/>
      <c r="B39" s="251" t="inlineStr">
        <is>
          <t>Ausgaben für 
Bw-Personal</t>
        </is>
      </c>
      <c r="C39" s="139" t="inlineStr">
        <is>
          <t>Bei Bedarf bitte auswählen</t>
        </is>
      </c>
      <c r="D39" s="130" t="inlineStr">
        <is>
          <t>Bei Bedarf bitte auswählen</t>
        </is>
      </c>
      <c r="E39" s="125" t="n">
        <v>0</v>
      </c>
      <c r="F39" s="127" t="n">
        <v>0</v>
      </c>
      <c r="G39" s="120">
        <f>IF(C39="Bei Bedarf bitte auswählen",0,IF(D39="Bei Bedarf bitte auswählen",0,IF(E39=0,0,IF(F39=0,0,(VLOOKUP(D39,Hilfstabelle!$A$44:$B$140,2,FALSE)*E39*F39*-1)/O39*P39*Q39))))</f>
        <v/>
      </c>
      <c r="H39" s="16" t="n"/>
      <c r="I39" s="138" t="n"/>
      <c r="O39">
        <f>IF(C39="Personalnormkosten Arbeitnehmer",196.75,IF(C39="Personalnormkosten Beamte",195.5,IF(C39="Personalnormkosten Soldaten",208.18,"")))</f>
        <v/>
      </c>
      <c r="P39">
        <f>(($F$6-$D$6)+1)</f>
        <v/>
      </c>
      <c r="Q39">
        <f>O39/365</f>
        <v/>
      </c>
    </row>
    <row r="40" hidden="1" ht="39.95" customHeight="1" s="12">
      <c r="A40" s="158" t="n"/>
      <c r="B40" s="252" t="n"/>
      <c r="C40" s="140" t="inlineStr">
        <is>
          <t>Bei Bedarf bitte auswählen</t>
        </is>
      </c>
      <c r="D40" s="131" t="inlineStr">
        <is>
          <t>Bei Bedarf bitte auswählen</t>
        </is>
      </c>
      <c r="E40" s="124" t="n">
        <v>0</v>
      </c>
      <c r="F40" s="128" t="n">
        <v>0</v>
      </c>
      <c r="G40" s="120">
        <f>IF(C40="Bei Bedarf bitte auswählen",0,IF(D40="Bei Bedarf bitte auswählen",0,IF(E40=0,0,IF(F40=0,0,(VLOOKUP(D40,Hilfstabelle!$A$44:$B$140,2,FALSE)*E40*F40*-1)/O40*P40*Q40))))</f>
        <v/>
      </c>
      <c r="H40" s="16" t="n"/>
      <c r="I40" s="16" t="n"/>
      <c r="O40">
        <f>IF(C40="Personalnormkosten Arbeitnehmer",196.75,IF(C40="Personalnormkosten Beamte",195.5,IF(C40="Personalnormkosten Soldaten",208.18,"")))</f>
        <v/>
      </c>
      <c r="P40">
        <f>(($F$6-$D$6)+1)</f>
        <v/>
      </c>
      <c r="Q40">
        <f>O40/365</f>
        <v/>
      </c>
    </row>
    <row r="41" hidden="1" ht="39.95" customHeight="1" s="12" thickBot="1">
      <c r="A41" s="42" t="n"/>
      <c r="B41" s="253" t="n"/>
      <c r="C41" s="141" t="inlineStr">
        <is>
          <t>Bei Bedarf bitte auswählen</t>
        </is>
      </c>
      <c r="D41" s="132" t="inlineStr">
        <is>
          <t>Bei Bedarf bitte auswählen</t>
        </is>
      </c>
      <c r="E41" s="126" t="n">
        <v>0</v>
      </c>
      <c r="F41" s="129" t="n">
        <v>0</v>
      </c>
      <c r="G41" s="120">
        <f>IF(C41="Bei Bedarf bitte auswählen",0,IF(D41="Bei Bedarf bitte auswählen",0,IF(E41=0,0,IF(F41=0,0,(VLOOKUP(D41,Hilfstabelle!$A$44:$B$140,2,FALSE)*E41*F41*-1)/O41*P41*Q41))))</f>
        <v/>
      </c>
      <c r="H41" s="16" t="n"/>
      <c r="I41" s="16" t="n"/>
      <c r="O41">
        <f>IF(C41="Personalnormkosten Arbeitnehmer",196.75,IF(C41="Personalnormkosten Beamte",195.5,IF(C41="Personalnormkosten Soldaten",208.18,"")))</f>
        <v/>
      </c>
      <c r="P41">
        <f>(($F$6-$D$6)+1)</f>
        <v/>
      </c>
      <c r="Q41">
        <f>O41/365</f>
        <v/>
      </c>
    </row>
    <row r="42" hidden="1" ht="39.95" customHeight="1" s="12" thickBot="1">
      <c r="A42" s="157" t="inlineStr">
        <is>
          <t>Option</t>
        </is>
      </c>
      <c r="B42" s="51" t="inlineStr">
        <is>
          <t>Ausgaben für 
Bw-Material</t>
        </is>
      </c>
      <c r="C42" s="147" t="inlineStr">
        <is>
          <t>Sonstiges</t>
        </is>
      </c>
      <c r="D42" s="67" t="n"/>
      <c r="E42" s="68" t="n"/>
      <c r="F42" s="142" t="n"/>
      <c r="G42" s="55" t="n">
        <v>0</v>
      </c>
      <c r="H42" s="16" t="n"/>
      <c r="I42" s="135" t="n"/>
    </row>
    <row r="43" hidden="1" ht="39.95" customHeight="1" s="12" thickBot="1">
      <c r="A43" s="158">
        <f>IF(B23="","",B23)</f>
        <v/>
      </c>
      <c r="B43" s="173" t="inlineStr">
        <is>
          <t>Ausgaben für 
Bw-Infrastruktur</t>
        </is>
      </c>
      <c r="C43" s="144" t="inlineStr">
        <is>
          <t>Sonstiges</t>
        </is>
      </c>
      <c r="D43" s="52" t="n"/>
      <c r="E43" s="53" t="n"/>
      <c r="F43" s="48" t="n"/>
      <c r="G43" s="58" t="n">
        <v>0</v>
      </c>
      <c r="H43" s="16" t="n"/>
      <c r="I43" s="16" t="n"/>
    </row>
    <row r="44" hidden="1" ht="39.95" customHeight="1" s="12" thickBot="1">
      <c r="A44" s="56" t="n"/>
      <c r="B44" s="59" t="n"/>
      <c r="C44" s="60" t="inlineStr">
        <is>
          <t>Unterbringung seitens Bw verfügbar 
(unentgetlich)</t>
        </is>
      </c>
      <c r="D44" s="61" t="n"/>
      <c r="E44" s="62" t="n"/>
      <c r="F44" s="73" t="n"/>
      <c r="G44" s="64" t="n">
        <v>0</v>
      </c>
      <c r="H44" s="16" t="n"/>
      <c r="I44" s="16" t="n"/>
    </row>
    <row r="45" hidden="1" ht="39.95" customHeight="1" s="12" thickBot="1">
      <c r="A45" s="234" t="inlineStr">
        <is>
          <t>Leistungserbringung durch die eigene Dienststelle</t>
        </is>
      </c>
      <c r="B45" s="51" t="inlineStr">
        <is>
          <t>Ausgaben für sonstige Dienstleistungen</t>
        </is>
      </c>
      <c r="C45" s="144" t="inlineStr">
        <is>
          <t>externe
Dienstleistung</t>
        </is>
      </c>
      <c r="D45" s="65" t="n"/>
      <c r="E45" s="53" t="n"/>
      <c r="F45" s="142" t="n"/>
      <c r="G45" s="55" t="n">
        <v>0</v>
      </c>
      <c r="H45" s="16" t="n"/>
      <c r="I45" s="16" t="n"/>
    </row>
    <row r="46" hidden="1" ht="39.95" customHeight="1" s="12" thickBot="1">
      <c r="A46" s="254" t="n"/>
      <c r="B46" s="255" t="n"/>
      <c r="C46" s="144" t="inlineStr">
        <is>
          <t>externe 
Prüfung</t>
        </is>
      </c>
      <c r="D46" s="65" t="n"/>
      <c r="E46" s="53" t="n"/>
      <c r="F46" s="142" t="n"/>
      <c r="G46" s="55" t="n">
        <v>0</v>
      </c>
      <c r="H46" s="16" t="n"/>
      <c r="I46" s="16" t="n"/>
    </row>
    <row r="47" hidden="1" ht="39.95" customHeight="1" s="12" thickBot="1">
      <c r="A47" s="254" t="n"/>
      <c r="B47" s="255" t="n"/>
      <c r="C47" s="144" t="inlineStr">
        <is>
          <t>externe 
Wartung</t>
        </is>
      </c>
      <c r="D47" s="65" t="n"/>
      <c r="E47" s="53" t="n"/>
      <c r="F47" s="142" t="n"/>
      <c r="G47" s="55" t="n">
        <v>0</v>
      </c>
      <c r="H47" s="16" t="n"/>
      <c r="I47" s="16" t="n"/>
    </row>
    <row r="48" hidden="1" ht="39.95" customHeight="1" s="12" thickBot="1">
      <c r="A48" s="254" t="n"/>
      <c r="B48" s="255" t="n"/>
      <c r="C48" s="145" t="inlineStr">
        <is>
          <t>externe 
Lizenzen</t>
        </is>
      </c>
      <c r="D48" s="65" t="n"/>
      <c r="E48" s="53" t="n"/>
      <c r="F48" s="142" t="n"/>
      <c r="G48" s="55" t="n">
        <v>0</v>
      </c>
      <c r="H48" s="16" t="n"/>
      <c r="I48" s="16" t="n"/>
    </row>
    <row r="49" hidden="1" ht="39.95" customHeight="1" s="12" thickBot="1">
      <c r="A49" s="256" t="n"/>
      <c r="B49" s="241" t="n"/>
      <c r="C49" s="144" t="inlineStr">
        <is>
          <t>Sonstiges</t>
        </is>
      </c>
      <c r="D49" s="67" t="n"/>
      <c r="E49" s="68" t="n"/>
      <c r="F49" s="143" t="n"/>
      <c r="G49" s="70" t="n">
        <v>0</v>
      </c>
      <c r="H49" s="16" t="n"/>
      <c r="I49" s="16" t="n"/>
    </row>
    <row r="50" hidden="1" ht="39.95" customHeight="1" s="12" thickBot="1">
      <c r="A50" s="38" t="n"/>
      <c r="B50" s="39" t="n"/>
      <c r="C50" s="40" t="inlineStr">
        <is>
          <t>Bezeichnung der Ausgabe</t>
        </is>
      </c>
      <c r="D50" s="40" t="inlineStr">
        <is>
          <t>Beschreibung 
der Ausgabe</t>
        </is>
      </c>
      <c r="E50" s="40" t="inlineStr">
        <is>
          <t>Anzahl</t>
        </is>
      </c>
      <c r="F50" s="118" t="inlineStr">
        <is>
          <t>VZÄ</t>
        </is>
      </c>
      <c r="G50" s="41" t="inlineStr">
        <is>
          <t>Gesamt</t>
        </is>
      </c>
      <c r="H50" s="16" t="n"/>
      <c r="I50" s="133" t="inlineStr">
        <is>
          <t>Hinweise zur Darstellung der geeigneten Optionen</t>
        </is>
      </c>
    </row>
    <row r="51" hidden="1" ht="35.1" customHeight="1" s="12" thickBot="1">
      <c r="A51" s="42" t="n"/>
      <c r="B51" s="71" t="n"/>
      <c r="C51" s="44" t="inlineStr">
        <is>
          <t>Tagegeld</t>
        </is>
      </c>
      <c r="D51" s="45" t="n">
        <v>0</v>
      </c>
      <c r="E51" s="46" t="n">
        <v>0</v>
      </c>
      <c r="F51" s="47" t="n">
        <v>0</v>
      </c>
      <c r="G51" s="48">
        <f>IF(AND(D51=0,E51=0),F51,IF(OR(D51="",D51=0),E51*F51,IF(OR(E51="",E51=0),D51*F51,D51*E51*F51)))*-1</f>
        <v/>
      </c>
      <c r="H51" s="16" t="n"/>
      <c r="I51" s="135" t="n"/>
    </row>
    <row r="52" hidden="1" ht="39.95" customHeight="1" s="12">
      <c r="A52" s="49" t="n"/>
      <c r="B52" s="51" t="inlineStr">
        <is>
          <t>Ausgaben für 
Bw-Personal</t>
        </is>
      </c>
      <c r="C52" s="139" t="inlineStr">
        <is>
          <t>Bei Bedarf bitte auswählen</t>
        </is>
      </c>
      <c r="D52" s="130" t="inlineStr">
        <is>
          <t>Bei Bedarf bitte auswählen</t>
        </is>
      </c>
      <c r="E52" s="125" t="n">
        <v>0</v>
      </c>
      <c r="F52" s="127" t="n">
        <v>0</v>
      </c>
      <c r="G52" s="120">
        <f>IF(C52="Bei Bedarf bitte auswählen",0,IF(D52="Bei Bedarf bitte auswählen",0,IF(E52=0,0,IF(F52=0,0,(VLOOKUP(D52,Hilfstabelle!$A$44:$B$140,2,FALSE)*E52*F52*-1)/O52*P52*Q52))))</f>
        <v/>
      </c>
      <c r="H52" s="16" t="n"/>
      <c r="I52" s="135" t="n"/>
      <c r="O52">
        <f>IF(C52="Personalnormkosten Arbeitnehmer",196.75,IF(C52="Personalnormkosten Beamte",195.5,IF(C52="Personalnormkosten Soldaten",208.18,"")))</f>
        <v/>
      </c>
      <c r="P52">
        <f>(($F$6-$D$6)+1)</f>
        <v/>
      </c>
      <c r="Q52">
        <f>O52/365</f>
        <v/>
      </c>
    </row>
    <row r="53" hidden="1" ht="39.95" customHeight="1" s="12">
      <c r="A53" s="50" t="n"/>
      <c r="B53" s="255" t="n"/>
      <c r="C53" s="140" t="inlineStr">
        <is>
          <t>Bei Bedarf bitte auswählen</t>
        </is>
      </c>
      <c r="D53" s="131" t="inlineStr">
        <is>
          <t>Bei Bedarf bitte auswählen</t>
        </is>
      </c>
      <c r="E53" s="124" t="n">
        <v>0</v>
      </c>
      <c r="F53" s="128" t="n">
        <v>0</v>
      </c>
      <c r="G53" s="120">
        <f>IF(C53="Bei Bedarf bitte auswählen",0,IF(D53="Bei Bedarf bitte auswählen",0,IF(E53=0,0,IF(F53=0,0,(VLOOKUP(D53,Hilfstabelle!$A$44:$B$140,2,FALSE)*E53*F53*-1)/O53*P53*Q53))))</f>
        <v/>
      </c>
      <c r="H53" s="16" t="n"/>
      <c r="I53" s="16" t="n"/>
      <c r="O53">
        <f>IF(C53="Personalnormkosten Arbeitnehmer",196.75,IF(C53="Personalnormkosten Beamte",195.5,IF(C53="Personalnormkosten Soldaten",208.18,"")))</f>
        <v/>
      </c>
      <c r="P53">
        <f>(($F$6-$D$6)+1)</f>
        <v/>
      </c>
      <c r="Q53">
        <f>O53/365</f>
        <v/>
      </c>
    </row>
    <row r="54" hidden="1" ht="39.95" customHeight="1" s="12" thickBot="1">
      <c r="A54" s="157" t="inlineStr">
        <is>
          <t>Option</t>
        </is>
      </c>
      <c r="B54" s="241" t="n"/>
      <c r="C54" s="141" t="inlineStr">
        <is>
          <t>Bei Bedarf bitte auswählen</t>
        </is>
      </c>
      <c r="D54" s="132" t="inlineStr">
        <is>
          <t>Bei Bedarf bitte auswählen</t>
        </is>
      </c>
      <c r="E54" s="126" t="n">
        <v>0</v>
      </c>
      <c r="F54" s="129" t="n">
        <v>0</v>
      </c>
      <c r="G54" s="120">
        <f>IF(C54="Bei Bedarf bitte auswählen",0,IF(D54="Bei Bedarf bitte auswählen",0,IF(E54=0,0,IF(F54=0,0,(VLOOKUP(D54,Hilfstabelle!$A$44:$B$140,2,FALSE)*E54*F54*-1)/O54*P54*Q54))))</f>
        <v/>
      </c>
      <c r="H54" s="16" t="n"/>
      <c r="I54" s="16" t="n"/>
      <c r="O54">
        <f>IF(C54="Personalnormkosten Arbeitnehmer",196.75,IF(C54="Personalnormkosten Beamte",195.5,IF(C54="Personalnormkosten Soldaten",208.18,"")))</f>
        <v/>
      </c>
      <c r="P54">
        <f>(($F$6-$D$6)+1)</f>
        <v/>
      </c>
      <c r="Q54">
        <f>O54/365</f>
        <v/>
      </c>
    </row>
    <row r="55" hidden="1" ht="39.95" customHeight="1" s="12" thickBot="1">
      <c r="A55" s="158">
        <f>IF(B24="","",B24)</f>
        <v/>
      </c>
      <c r="B55" s="51" t="inlineStr">
        <is>
          <t>Ausgaben für 
Bw-Material</t>
        </is>
      </c>
      <c r="C55" s="144" t="inlineStr">
        <is>
          <t>Sonstiges</t>
        </is>
      </c>
      <c r="D55" s="52" t="n"/>
      <c r="E55" s="53" t="n"/>
      <c r="F55" s="54" t="n"/>
      <c r="G55" s="55" t="n">
        <v>0</v>
      </c>
      <c r="H55" s="16" t="n"/>
      <c r="I55" s="135" t="n"/>
    </row>
    <row r="56" hidden="1" ht="39.95" customHeight="1" s="12" thickBot="1">
      <c r="A56" s="168" t="n"/>
      <c r="B56" s="173" t="inlineStr">
        <is>
          <t>Ausgaben für 
Bw-Infrastruktur</t>
        </is>
      </c>
      <c r="C56" s="144" t="inlineStr">
        <is>
          <t>Sonstiges</t>
        </is>
      </c>
      <c r="D56" s="52" t="n"/>
      <c r="E56" s="53" t="n"/>
      <c r="F56" s="54" t="n"/>
      <c r="G56" s="58" t="n">
        <v>0</v>
      </c>
      <c r="H56" s="16" t="n"/>
      <c r="I56" s="16" t="n"/>
    </row>
    <row r="57" hidden="1" ht="24.95" customHeight="1" s="12" thickBot="1">
      <c r="A57" s="168" t="n"/>
      <c r="B57" s="71" t="n"/>
      <c r="C57" s="146" t="inlineStr">
        <is>
          <t>Unterbringung seitens Bw verfügbar 
(unentgetlich)</t>
        </is>
      </c>
      <c r="D57" s="61" t="n"/>
      <c r="E57" s="62" t="n"/>
      <c r="F57" s="171" t="n"/>
      <c r="G57" s="73" t="n">
        <v>0</v>
      </c>
      <c r="H57" s="16" t="n"/>
      <c r="I57" s="16" t="n"/>
    </row>
    <row r="58" hidden="1" ht="39.95" customHeight="1" s="12" thickBot="1">
      <c r="A58" s="169" t="inlineStr">
        <is>
          <t>Leistungserbringung durch die eigene Dienststelle</t>
        </is>
      </c>
      <c r="B58" s="51" t="inlineStr">
        <is>
          <t>Ausgaben für sonstige Dienst-leistungen</t>
        </is>
      </c>
      <c r="C58" s="144" t="inlineStr">
        <is>
          <t>externe
Dienstleistung</t>
        </is>
      </c>
      <c r="D58" s="65" t="n"/>
      <c r="E58" s="53" t="n"/>
      <c r="F58" s="53" t="n"/>
      <c r="G58" s="55" t="n">
        <v>0</v>
      </c>
      <c r="H58" s="16" t="n"/>
      <c r="I58" s="16" t="n"/>
    </row>
    <row r="59" hidden="1" ht="39.95" customHeight="1" s="12" thickBot="1">
      <c r="A59" s="254" t="n"/>
      <c r="B59" s="255" t="n"/>
      <c r="C59" s="144" t="inlineStr">
        <is>
          <t>externe 
Prüfung</t>
        </is>
      </c>
      <c r="D59" s="65" t="n"/>
      <c r="E59" s="53" t="n"/>
      <c r="F59" s="53" t="n"/>
      <c r="G59" s="55" t="n">
        <v>0</v>
      </c>
      <c r="H59" s="16" t="n"/>
      <c r="I59" s="16" t="n"/>
    </row>
    <row r="60" hidden="1" ht="39.95" customHeight="1" s="12" thickBot="1">
      <c r="A60" s="254" t="n"/>
      <c r="B60" s="255" t="n"/>
      <c r="C60" s="144" t="inlineStr">
        <is>
          <t>externe 
Wartung</t>
        </is>
      </c>
      <c r="D60" s="65" t="n"/>
      <c r="E60" s="53" t="n"/>
      <c r="F60" s="53" t="n"/>
      <c r="G60" s="55" t="n">
        <v>0</v>
      </c>
      <c r="H60" s="16" t="n"/>
      <c r="I60" s="16" t="n"/>
    </row>
    <row r="61" hidden="1" ht="39.95" customHeight="1" s="12" thickBot="1">
      <c r="A61" s="254" t="n"/>
      <c r="B61" s="255" t="n"/>
      <c r="C61" s="145" t="inlineStr">
        <is>
          <t>externe 
Lizenzen</t>
        </is>
      </c>
      <c r="D61" s="65" t="n"/>
      <c r="E61" s="53" t="n"/>
      <c r="F61" s="53" t="n"/>
      <c r="G61" s="55" t="n">
        <v>0</v>
      </c>
      <c r="H61" s="16" t="n"/>
      <c r="I61" s="16" t="n"/>
    </row>
    <row r="62" hidden="1" ht="39.95" customHeight="1" s="12" thickBot="1">
      <c r="A62" s="256" t="n"/>
      <c r="B62" s="241" t="n"/>
      <c r="C62" s="144" t="inlineStr">
        <is>
          <t>Sonstiges</t>
        </is>
      </c>
      <c r="D62" s="67" t="n"/>
      <c r="E62" s="68" t="n"/>
      <c r="F62" s="69" t="n"/>
      <c r="G62" s="70" t="n">
        <v>0</v>
      </c>
      <c r="H62" s="16" t="n"/>
      <c r="I62" s="16" t="n"/>
    </row>
    <row r="63" hidden="1" ht="39.95" customHeight="1" s="12" thickBot="1">
      <c r="A63" s="38" t="n"/>
      <c r="B63" s="39" t="n"/>
      <c r="C63" s="40" t="inlineStr">
        <is>
          <t>Bezeichnung der Ausgabe</t>
        </is>
      </c>
      <c r="D63" s="40" t="inlineStr">
        <is>
          <t>Beschreibung 
der Ausgabe</t>
        </is>
      </c>
      <c r="E63" s="40" t="inlineStr">
        <is>
          <t>Anzahl</t>
        </is>
      </c>
      <c r="F63" s="118" t="inlineStr">
        <is>
          <t>VZÄ</t>
        </is>
      </c>
      <c r="G63" s="41" t="inlineStr">
        <is>
          <t>Gesamt</t>
        </is>
      </c>
      <c r="H63" s="16" t="n"/>
      <c r="I63" s="133" t="inlineStr">
        <is>
          <t>Hinweise zur Darstellung der geeigneten Optionen</t>
        </is>
      </c>
    </row>
    <row r="64" hidden="1" ht="35.1" customHeight="1" s="12">
      <c r="A64" s="42" t="n"/>
      <c r="B64" s="71" t="n"/>
      <c r="C64" s="44" t="inlineStr">
        <is>
          <t>Tagegeld</t>
        </is>
      </c>
      <c r="D64" s="74" t="n">
        <v>0</v>
      </c>
      <c r="E64" s="75" t="n">
        <v>0</v>
      </c>
      <c r="F64" s="76" t="n">
        <v>0</v>
      </c>
      <c r="G64" s="48">
        <f>IF(AND(D64=0,E64=0),F64,IF(OR(D64="",D64=0),E64*F64,IF(OR(E64="",E64=0),D64*F64,D64*E64*F64)))*-1</f>
        <v/>
      </c>
      <c r="H64" s="16" t="n"/>
      <c r="I64" s="135" t="n"/>
    </row>
    <row r="65" hidden="1" ht="39.95" customHeight="1" s="12">
      <c r="A65" s="49" t="n"/>
      <c r="B65" s="51" t="inlineStr">
        <is>
          <t>Ausgaben für 
Bw-Personal</t>
        </is>
      </c>
      <c r="C65" s="139" t="inlineStr">
        <is>
          <t>Bei Bedarf bitte auswählen</t>
        </is>
      </c>
      <c r="D65" s="130" t="inlineStr">
        <is>
          <t>Bei Bedarf bitte auswählen</t>
        </is>
      </c>
      <c r="E65" s="125" t="n">
        <v>0</v>
      </c>
      <c r="F65" s="127" t="n">
        <v>0</v>
      </c>
      <c r="G65" s="120">
        <f>IF(C65="Bei Bedarf bitte auswählen",0,IF(D65="Bei Bedarf bitte auswählen",0,IF(E65=0,0,IF(F65=0,0,(VLOOKUP(D65,Hilfstabelle!$A$44:$B$140,2,FALSE)*E65*F65*-1)/O65*P65*Q65))))</f>
        <v/>
      </c>
      <c r="H65" s="16" t="n"/>
      <c r="I65" s="135" t="n"/>
      <c r="O65">
        <f>IF(C65="Personalnormkosten Arbeitnehmer",196.75,IF(C65="Personalnormkosten Beamte",195.5,IF(C65="Personalnormkosten Soldaten",208.18,"")))</f>
        <v/>
      </c>
      <c r="P65">
        <f>(($F$6-$D$6)+1)</f>
        <v/>
      </c>
      <c r="Q65">
        <f>O65/365</f>
        <v/>
      </c>
    </row>
    <row r="66" hidden="1" ht="39.95" customHeight="1" s="12">
      <c r="A66" s="50" t="n"/>
      <c r="B66" s="255" t="n"/>
      <c r="C66" s="140" t="inlineStr">
        <is>
          <t>Bei Bedarf bitte auswählen</t>
        </is>
      </c>
      <c r="D66" s="131" t="inlineStr">
        <is>
          <t>Bei Bedarf bitte auswählen</t>
        </is>
      </c>
      <c r="E66" s="124" t="n">
        <v>0</v>
      </c>
      <c r="F66" s="128" t="n">
        <v>0</v>
      </c>
      <c r="G66" s="120">
        <f>IF(C66="Bei Bedarf bitte auswählen",0,IF(D66="Bei Bedarf bitte auswählen",0,IF(E66=0,0,IF(F66=0,0,(VLOOKUP(D66,Hilfstabelle!$A$44:$B$140,2,FALSE)*E66*F66*-1)/O66*P66*Q66))))</f>
        <v/>
      </c>
      <c r="H66" s="16" t="n"/>
      <c r="I66" s="16" t="n"/>
      <c r="O66">
        <f>IF(C66="Personalnormkosten Arbeitnehmer",196.75,IF(C66="Personalnormkosten Beamte",195.5,IF(C66="Personalnormkosten Soldaten",208.18,"")))</f>
        <v/>
      </c>
      <c r="P66">
        <f>(($F$6-$D$6)+1)</f>
        <v/>
      </c>
      <c r="Q66">
        <f>O66/365</f>
        <v/>
      </c>
    </row>
    <row r="67" hidden="1" ht="39.95" customHeight="1" s="12" thickBot="1">
      <c r="A67" s="157" t="inlineStr">
        <is>
          <t>Option</t>
        </is>
      </c>
      <c r="B67" s="241" t="n"/>
      <c r="C67" s="141" t="inlineStr">
        <is>
          <t>Bei Bedarf bitte auswählen</t>
        </is>
      </c>
      <c r="D67" s="132" t="inlineStr">
        <is>
          <t>Bei Bedarf bitte auswählen</t>
        </is>
      </c>
      <c r="E67" s="126" t="n">
        <v>0</v>
      </c>
      <c r="F67" s="129" t="n">
        <v>0</v>
      </c>
      <c r="G67" s="120">
        <f>IF(C67="Bei Bedarf bitte auswählen",0,IF(D67="Bei Bedarf bitte auswählen",0,IF(E67=0,0,IF(F67=0,0,(VLOOKUP(D67,Hilfstabelle!$A$44:$B$140,2,FALSE)*E67*F67*-1)/O67*P67*Q67))))</f>
        <v/>
      </c>
      <c r="H67" s="16" t="n"/>
      <c r="I67" s="16" t="n"/>
      <c r="O67">
        <f>IF(C67="Personalnormkosten Arbeitnehmer",196.75,IF(C67="Personalnormkosten Beamte",195.5,IF(C67="Personalnormkosten Soldaten",208.18,"")))</f>
        <v/>
      </c>
      <c r="P67">
        <f>(($F$6-$D$6)+1)</f>
        <v/>
      </c>
      <c r="Q67">
        <f>O67/365</f>
        <v/>
      </c>
    </row>
    <row r="68" hidden="1" ht="39.95" customHeight="1" s="12" thickBot="1">
      <c r="A68" s="158">
        <f>IF(B25="","",B25)</f>
        <v/>
      </c>
      <c r="B68" s="51" t="inlineStr">
        <is>
          <t>Ausgaben für 
Bw-Material</t>
        </is>
      </c>
      <c r="C68" s="144" t="inlineStr">
        <is>
          <t>Sonstiges</t>
        </is>
      </c>
      <c r="D68" s="52" t="n"/>
      <c r="E68" s="53" t="n"/>
      <c r="F68" s="54" t="n"/>
      <c r="G68" s="55" t="n">
        <v>0</v>
      </c>
      <c r="H68" s="16" t="n"/>
      <c r="I68" s="135" t="n"/>
    </row>
    <row r="69" hidden="1" ht="39.95" customHeight="1" s="12" thickBot="1">
      <c r="A69" s="168" t="n"/>
      <c r="B69" s="173" t="inlineStr">
        <is>
          <t>Ausgaben für 
Bw-Infrastruktur</t>
        </is>
      </c>
      <c r="C69" s="144" t="inlineStr">
        <is>
          <t>Sonstiges</t>
        </is>
      </c>
      <c r="D69" s="52" t="n"/>
      <c r="E69" s="53" t="n"/>
      <c r="F69" s="54" t="n"/>
      <c r="G69" s="58" t="n">
        <v>0</v>
      </c>
      <c r="H69" s="16" t="n"/>
      <c r="I69" s="16" t="n"/>
    </row>
    <row r="70" hidden="1" ht="39.95" customHeight="1" s="12" thickBot="1">
      <c r="A70" s="254" t="n"/>
      <c r="B70" s="71" t="n"/>
      <c r="C70" s="148" t="inlineStr">
        <is>
          <t>Unterbringung seitens Bw verfügbar 
(unentgetlich)</t>
        </is>
      </c>
      <c r="D70" s="61" t="n"/>
      <c r="E70" s="62" t="n"/>
      <c r="F70" s="171" t="n"/>
      <c r="G70" s="73" t="n">
        <v>0</v>
      </c>
      <c r="H70" s="16" t="n"/>
      <c r="I70" s="16" t="n"/>
    </row>
    <row r="71" hidden="1" ht="39.95" customHeight="1" s="12" thickBot="1">
      <c r="A71" s="169" t="inlineStr">
        <is>
          <t>Leistungserbringung durch die eigene Dienststelle</t>
        </is>
      </c>
      <c r="B71" s="51" t="inlineStr">
        <is>
          <t>Ausgaben für sonstige Dienst-leistungen</t>
        </is>
      </c>
      <c r="C71" s="144" t="inlineStr">
        <is>
          <t>externe
Dienstleistung</t>
        </is>
      </c>
      <c r="D71" s="65" t="n"/>
      <c r="E71" s="53" t="n"/>
      <c r="F71" s="53" t="n"/>
      <c r="G71" s="55" t="n">
        <v>0</v>
      </c>
      <c r="H71" s="16" t="n"/>
      <c r="I71" s="16" t="n"/>
    </row>
    <row r="72" hidden="1" ht="39.95" customHeight="1" s="12" thickBot="1">
      <c r="A72" s="254" t="n"/>
      <c r="B72" s="255" t="n"/>
      <c r="C72" s="144" t="inlineStr">
        <is>
          <t>externe 
Prüfung</t>
        </is>
      </c>
      <c r="D72" s="65" t="n"/>
      <c r="E72" s="53" t="n"/>
      <c r="F72" s="53" t="n"/>
      <c r="G72" s="55" t="n">
        <v>0</v>
      </c>
      <c r="H72" s="16" t="n"/>
      <c r="I72" s="16" t="n"/>
    </row>
    <row r="73" hidden="1" ht="39.95" customHeight="1" s="12" thickBot="1">
      <c r="A73" s="254" t="n"/>
      <c r="B73" s="255" t="n"/>
      <c r="C73" s="144" t="inlineStr">
        <is>
          <t>externe 
Wartung</t>
        </is>
      </c>
      <c r="D73" s="65" t="n"/>
      <c r="E73" s="53" t="n"/>
      <c r="F73" s="53" t="n"/>
      <c r="G73" s="55" t="n">
        <v>0</v>
      </c>
      <c r="H73" s="16" t="n"/>
      <c r="I73" s="16" t="n"/>
    </row>
    <row r="74" hidden="1" ht="39.95" customHeight="1" s="12" thickBot="1">
      <c r="A74" s="254" t="n"/>
      <c r="B74" s="255" t="n"/>
      <c r="C74" s="145" t="inlineStr">
        <is>
          <t>externe 
Lizenzen</t>
        </is>
      </c>
      <c r="D74" s="65" t="n"/>
      <c r="E74" s="53" t="n"/>
      <c r="F74" s="53" t="n"/>
      <c r="G74" s="55" t="n">
        <v>0</v>
      </c>
      <c r="H74" s="16" t="n"/>
      <c r="I74" s="16" t="n"/>
    </row>
    <row r="75" hidden="1" ht="39.95" customHeight="1" s="12" thickBot="1">
      <c r="A75" s="256" t="n"/>
      <c r="B75" s="241" t="n"/>
      <c r="C75" s="144" t="inlineStr">
        <is>
          <t>Sonstiges</t>
        </is>
      </c>
      <c r="D75" s="67" t="n"/>
      <c r="E75" s="68" t="n"/>
      <c r="F75" s="69" t="n"/>
      <c r="G75" s="70" t="n">
        <v>0</v>
      </c>
      <c r="H75" s="16" t="n"/>
      <c r="I75" s="16" t="n"/>
    </row>
    <row r="76" hidden="1" ht="39.95" customHeight="1" s="12" thickBot="1">
      <c r="A76" s="38" t="n"/>
      <c r="B76" s="39" t="n"/>
      <c r="C76" s="40" t="inlineStr">
        <is>
          <t>Bezeichnung der Ausgabe</t>
        </is>
      </c>
      <c r="D76" s="40" t="inlineStr">
        <is>
          <t>Beschreibung 
der Ausgabe</t>
        </is>
      </c>
      <c r="E76" s="40" t="inlineStr">
        <is>
          <t>Anzahl</t>
        </is>
      </c>
      <c r="F76" s="118" t="inlineStr">
        <is>
          <t>VZÄ</t>
        </is>
      </c>
      <c r="G76" s="41" t="inlineStr">
        <is>
          <t>Gesamt</t>
        </is>
      </c>
      <c r="H76" s="16" t="n"/>
      <c r="I76" s="133" t="inlineStr">
        <is>
          <t>Hinweise zur Darstellung der geeigneten Optionen</t>
        </is>
      </c>
    </row>
    <row r="77" hidden="1" ht="35.1" customHeight="1" s="12">
      <c r="A77" s="42" t="inlineStr">
        <is>
          <t>Option</t>
        </is>
      </c>
      <c r="B77" s="51" t="inlineStr">
        <is>
          <t>Ausgaben für 
Bw-Personal</t>
        </is>
      </c>
      <c r="C77" s="44" t="inlineStr">
        <is>
          <t>Tagegeld</t>
        </is>
      </c>
      <c r="D77" s="74" t="n">
        <v>0</v>
      </c>
      <c r="E77" s="75" t="n">
        <v>0</v>
      </c>
      <c r="F77" s="76" t="n">
        <v>0</v>
      </c>
      <c r="G77" s="48">
        <f>IF(AND(D77=0,E77=0),F77,IF(OR(D77="",D77=0),E77*F77,IF(OR(E77="",E77=0),D77*F77,D77*E77*F77)))*-1</f>
        <v/>
      </c>
      <c r="H77" s="16" t="n"/>
      <c r="I77" s="135" t="n"/>
    </row>
    <row r="78" hidden="1" collapsed="1" ht="39.95" customHeight="1" s="12">
      <c r="A78" s="49" t="n"/>
      <c r="B78" s="255" t="n"/>
      <c r="C78" s="139" t="inlineStr">
        <is>
          <t>Bei Bedarf bitte auswählen</t>
        </is>
      </c>
      <c r="D78" s="130" t="inlineStr">
        <is>
          <t>Personalkosten</t>
        </is>
      </c>
      <c r="E78" s="125" t="n">
        <v>0</v>
      </c>
      <c r="F78" s="127" t="n">
        <v>0</v>
      </c>
      <c r="G78" s="120" t="n">
        <v>-500</v>
      </c>
      <c r="H78" s="16" t="n"/>
      <c r="I78" s="135" t="n"/>
      <c r="O78">
        <f>IF(C78="Personalnormkosten Arbeitnehmer",196.75,IF(C78="Personalnormkosten Beamte",195.5,IF(C78="Personalnormkosten Soldaten",208.18,"")))</f>
        <v/>
      </c>
      <c r="P78">
        <f>(($F$6-$D$6)+1)</f>
        <v/>
      </c>
      <c r="Q78">
        <f>O78/365</f>
        <v/>
      </c>
    </row>
    <row r="79" hidden="1" ht="39.95" customHeight="1" s="12">
      <c r="A79" s="50" t="n"/>
      <c r="B79" s="255" t="n"/>
      <c r="C79" s="140" t="inlineStr">
        <is>
          <t>Bei Bedarf bitte auswählen</t>
        </is>
      </c>
      <c r="D79" s="131" t="inlineStr">
        <is>
          <t>Bei Bedarf bitte auswählen</t>
        </is>
      </c>
      <c r="E79" s="124" t="n">
        <v>0</v>
      </c>
      <c r="F79" s="128" t="n">
        <v>0</v>
      </c>
      <c r="G79" s="120">
        <f>IF(C79="Bei Bedarf bitte auswählen",0,IF(D79="Bei Bedarf bitte auswählen",0,IF(E79=0,0,IF(F79=0,0,(VLOOKUP(D79,Hilfstabelle!$A$44:$B$140,2,FALSE)*E79*F79*-1)/O79*P79*Q79))))</f>
        <v/>
      </c>
      <c r="H79" s="16" t="n"/>
      <c r="I79" s="16" t="n"/>
      <c r="O79">
        <f>IF(C79="Personalnormkosten Arbeitnehmer",196.75,IF(C79="Personalnormkosten Beamte",195.5,IF(C79="Personalnormkosten Soldaten",208.18,"")))</f>
        <v/>
      </c>
      <c r="P79">
        <f>(($F$6-$D$6)+1)</f>
        <v/>
      </c>
      <c r="Q79">
        <f>O79/365</f>
        <v/>
      </c>
    </row>
    <row r="80" hidden="1" ht="39.95" customHeight="1" s="12" thickBot="1">
      <c r="A80" s="157" t="inlineStr">
        <is>
          <t>Option</t>
        </is>
      </c>
      <c r="B80" s="241" t="n"/>
      <c r="C80" s="141" t="inlineStr">
        <is>
          <t>Bei Bedarf bitte auswählen</t>
        </is>
      </c>
      <c r="D80" s="132" t="inlineStr">
        <is>
          <t>Bei Bedarf bitte auswählen</t>
        </is>
      </c>
      <c r="E80" s="126" t="n">
        <v>0</v>
      </c>
      <c r="F80" s="129" t="n">
        <v>0</v>
      </c>
      <c r="G80" s="120">
        <f>IF(C80="Bei Bedarf bitte auswählen",0,IF(D80="Bei Bedarf bitte auswählen",0,IF(E80=0,0,IF(F80=0,0,(VLOOKUP(D80,Hilfstabelle!$A$44:$B$140,2,FALSE)*E80*F80*-1)/O80*P80*Q80))))</f>
        <v/>
      </c>
      <c r="H80" s="16" t="n"/>
      <c r="I80" s="16" t="n"/>
      <c r="O80">
        <f>IF(C80="Personalnormkosten Arbeitnehmer",196.75,IF(C80="Personalnormkosten Beamte",195.5,IF(C80="Personalnormkosten Soldaten",208.18,"")))</f>
        <v/>
      </c>
      <c r="P80">
        <f>(($F$6-$D$6)+1)</f>
        <v/>
      </c>
      <c r="Q80">
        <f>O80/365</f>
        <v/>
      </c>
    </row>
    <row r="81" hidden="1" ht="39.95" customHeight="1" s="12" thickBot="1">
      <c r="A81" s="158">
        <f>IF(B26="","",B26)</f>
        <v/>
      </c>
      <c r="B81" s="51" t="inlineStr">
        <is>
          <t>Ausgaben für 
Bw-Material</t>
        </is>
      </c>
      <c r="C81" s="144" t="inlineStr">
        <is>
          <t>Sonstiges</t>
        </is>
      </c>
      <c r="D81" s="52" t="n"/>
      <c r="E81" s="53" t="n"/>
      <c r="F81" s="54" t="n"/>
      <c r="G81" s="55" t="n">
        <v>0</v>
      </c>
      <c r="H81" s="16" t="n"/>
      <c r="I81" s="135" t="n"/>
    </row>
    <row r="82" hidden="1" ht="39.95" customHeight="1" s="12" thickBot="1">
      <c r="A82" s="168" t="n"/>
      <c r="B82" s="173" t="inlineStr">
        <is>
          <t>Ausgaben für 
Bw-Infrastruktur</t>
        </is>
      </c>
      <c r="C82" s="144" t="inlineStr">
        <is>
          <t>Sonstiges</t>
        </is>
      </c>
      <c r="D82" s="52" t="n"/>
      <c r="E82" s="53" t="n"/>
      <c r="F82" s="54" t="n"/>
      <c r="G82" s="58" t="n">
        <v>0</v>
      </c>
      <c r="H82" s="16" t="n"/>
      <c r="I82" s="16" t="n"/>
    </row>
    <row r="83" hidden="1" ht="39.95" customHeight="1" s="12" thickBot="1">
      <c r="A83" s="254" t="n"/>
      <c r="B83" s="59" t="n"/>
      <c r="C83" s="146" t="inlineStr">
        <is>
          <t>Unterbringung seitens Bw verfügbar 
(unentgetlich)</t>
        </is>
      </c>
      <c r="D83" s="77" t="n"/>
      <c r="E83" s="62" t="n"/>
      <c r="F83" s="171" t="n"/>
      <c r="G83" s="73" t="n">
        <v>0</v>
      </c>
      <c r="H83" s="16" t="n"/>
      <c r="I83" s="16" t="n"/>
    </row>
    <row r="84" hidden="1" ht="39.95" customHeight="1" s="12" thickBot="1">
      <c r="A84" s="169" t="inlineStr">
        <is>
          <t>Leistungserbringung durch die eigene Dienststelle</t>
        </is>
      </c>
      <c r="B84" s="51" t="inlineStr">
        <is>
          <t>Ausgaben für sonstige Dienst-leistungen</t>
        </is>
      </c>
      <c r="C84" s="144" t="inlineStr">
        <is>
          <t>externe
Dienstleistung</t>
        </is>
      </c>
      <c r="D84" s="65" t="inlineStr">
        <is>
          <t>Externe Dienstleistung</t>
        </is>
      </c>
      <c r="E84" s="53" t="n"/>
      <c r="F84" s="53" t="n"/>
      <c r="G84" s="55" t="n">
        <v>-42000</v>
      </c>
      <c r="H84" s="16" t="n"/>
      <c r="I84" s="16" t="n"/>
    </row>
    <row r="85" hidden="1" ht="39.95" customHeight="1" s="12" thickBot="1">
      <c r="A85" s="254" t="n"/>
      <c r="B85" s="255" t="n"/>
      <c r="C85" s="144" t="inlineStr">
        <is>
          <t>externe 
Prüfung</t>
        </is>
      </c>
      <c r="D85" s="65" t="n"/>
      <c r="E85" s="53" t="n"/>
      <c r="F85" s="53" t="n"/>
      <c r="G85" s="55" t="n">
        <v>0</v>
      </c>
      <c r="H85" s="16" t="n"/>
      <c r="I85" s="16" t="n"/>
    </row>
    <row r="86" hidden="1" ht="39.95" customHeight="1" s="12" thickBot="1">
      <c r="A86" s="254" t="n"/>
      <c r="B86" s="255" t="n"/>
      <c r="C86" s="144" t="inlineStr">
        <is>
          <t>externe 
Wartung</t>
        </is>
      </c>
      <c r="D86" s="65" t="n"/>
      <c r="E86" s="53" t="n"/>
      <c r="F86" s="53" t="n"/>
      <c r="G86" s="55" t="n">
        <v>0</v>
      </c>
      <c r="H86" s="16" t="n"/>
      <c r="I86" s="16" t="n"/>
    </row>
    <row r="87" hidden="1" ht="39.95" customHeight="1" s="12" thickBot="1">
      <c r="A87" s="254" t="n"/>
      <c r="B87" s="255" t="n"/>
      <c r="C87" s="145" t="inlineStr">
        <is>
          <t>externe 
Lizenzen</t>
        </is>
      </c>
      <c r="D87" s="65" t="n"/>
      <c r="E87" s="53" t="n"/>
      <c r="F87" s="53" t="n"/>
      <c r="G87" s="55" t="n">
        <v>0</v>
      </c>
      <c r="H87" s="16" t="n"/>
      <c r="I87" s="16" t="n"/>
    </row>
    <row r="88" hidden="1" ht="39.95" customHeight="1" s="12" thickBot="1">
      <c r="A88" s="256" t="n"/>
      <c r="B88" s="241" t="n"/>
      <c r="C88" s="144" t="inlineStr">
        <is>
          <t>Sonstiges</t>
        </is>
      </c>
      <c r="D88" s="67" t="n"/>
      <c r="E88" s="68" t="n"/>
      <c r="F88" s="69" t="n"/>
      <c r="G88" s="70" t="n">
        <v>0</v>
      </c>
      <c r="H88" s="16" t="n"/>
      <c r="I88" s="16" t="n"/>
    </row>
    <row r="89" ht="20.1" customHeight="1" s="12" thickBot="1">
      <c r="A89" s="242" t="inlineStr">
        <is>
          <t>4. Berechnung der Optionen (ohne Risiko)</t>
        </is>
      </c>
      <c r="B89" s="236" t="n"/>
      <c r="C89" s="236" t="n"/>
      <c r="D89" s="236" t="n"/>
      <c r="E89" s="236" t="n"/>
      <c r="F89" s="236" t="n"/>
      <c r="G89" s="237" t="n"/>
      <c r="H89" s="16" t="n"/>
      <c r="I89" s="16" t="n"/>
    </row>
    <row r="90" hidden="1" ht="15" customHeight="1" s="12" thickBot="1">
      <c r="A90" s="257" t="inlineStr">
        <is>
          <t>Option</t>
        </is>
      </c>
      <c r="B90" s="236" t="n"/>
      <c r="C90" s="237" t="n"/>
      <c r="D90" s="66">
        <f>IF(B$23="","",B$23)</f>
        <v/>
      </c>
      <c r="E90" s="66">
        <f>IF(B24="","",B24)</f>
        <v/>
      </c>
      <c r="F90" s="66">
        <f>IF(B25="","",B25)</f>
        <v/>
      </c>
      <c r="G90" s="78">
        <f>IF(B26="","",B26)</f>
        <v/>
      </c>
      <c r="H90" s="16" t="n"/>
      <c r="I90" s="16" t="n"/>
    </row>
    <row r="91" hidden="1" ht="24" customHeight="1" s="12">
      <c r="A91" s="79" t="n"/>
      <c r="B91" s="80" t="n"/>
      <c r="C91" s="81" t="inlineStr">
        <is>
          <t>Tagegeld</t>
        </is>
      </c>
      <c r="D91" s="82">
        <f>IF(G38&lt;0,G38,"")</f>
        <v/>
      </c>
      <c r="E91" s="82">
        <f>IF(G51&lt;0,G51,"")</f>
        <v/>
      </c>
      <c r="F91" s="82">
        <f>IF(G64&lt;0,G64,"")</f>
        <v/>
      </c>
      <c r="G91" s="83">
        <f>IF(G77&lt;0,G77,"")</f>
        <v/>
      </c>
      <c r="H91" s="16" t="n"/>
      <c r="I91" s="16" t="n"/>
    </row>
    <row r="92" hidden="1" ht="24" customHeight="1" s="12">
      <c r="A92" s="84" t="n"/>
      <c r="B92" s="85" t="n"/>
      <c r="C92" s="86" t="inlineStr">
        <is>
          <t>Transport</t>
        </is>
      </c>
      <c r="D92" s="87">
        <f>IF(G39&lt;0,G39,"")</f>
        <v/>
      </c>
      <c r="E92" s="87">
        <f>IF(G52&lt;0,G52,"")</f>
        <v/>
      </c>
      <c r="F92" s="88">
        <f>IF(G65&lt;0,G65,"")</f>
        <v/>
      </c>
      <c r="G92" s="89">
        <f>IF(G78&lt;0,G78,"")</f>
        <v/>
      </c>
      <c r="H92" s="16" t="n"/>
      <c r="I92" s="16" t="n"/>
    </row>
    <row r="93" hidden="1" ht="24" customHeight="1" s="12" thickBot="1">
      <c r="A93" s="84" t="n"/>
      <c r="B93" s="85" t="n"/>
      <c r="C93" s="90" t="inlineStr">
        <is>
          <t>externe 
Unterbringung</t>
        </is>
      </c>
      <c r="D93" s="91">
        <f>IF(G40&lt;0,G40,"")</f>
        <v/>
      </c>
      <c r="E93" s="91">
        <f>IF(G53&lt;0,G53,"")</f>
        <v/>
      </c>
      <c r="F93" s="92">
        <f>IF(G66&lt;0,G66,"")</f>
        <v/>
      </c>
      <c r="G93" s="93">
        <f>IF(G79&lt;0,G79,"")</f>
        <v/>
      </c>
      <c r="H93" s="16" t="n"/>
      <c r="I93" s="16" t="n"/>
    </row>
    <row r="94" hidden="1" ht="35.1" customHeight="1" s="12" thickBot="1">
      <c r="A94" s="94" t="inlineStr">
        <is>
          <t>Ausgaben für 
Bw-Personal</t>
        </is>
      </c>
      <c r="B94" s="18" t="n"/>
      <c r="C94" s="95" t="inlineStr">
        <is>
          <t>Personalnorm-kosten</t>
        </is>
      </c>
      <c r="D94" s="96">
        <f>IF(SUM(G39:G41)=0,"",IF(SUM(G39:G41)="","",(G39+G40+G41)))</f>
        <v/>
      </c>
      <c r="E94" s="96">
        <f>IF(SUM(G52:G54)=0,"",IF(SUM(G52:G54)="","",(G52+G53+G54)))</f>
        <v/>
      </c>
      <c r="F94" s="96">
        <f>IF(SUM(G65:G67)=0,"",IF(SUM(G65:G67)="","",(G65+G66+G67)))</f>
        <v/>
      </c>
      <c r="G94" s="96">
        <f>IF(SUM(G78:G80)=0,"",IF(SUM(G78:G80)="","",(G78+G79+G80)))</f>
        <v/>
      </c>
      <c r="H94" s="16" t="n"/>
      <c r="I94" s="16" t="n"/>
    </row>
    <row r="95" hidden="1" ht="35.1" customHeight="1" s="12" thickBot="1">
      <c r="A95" s="94" t="inlineStr">
        <is>
          <t>Ausgaben für 
Bw-Material</t>
        </is>
      </c>
      <c r="B95" s="18" t="n"/>
      <c r="C95" s="149" t="inlineStr">
        <is>
          <t>Sonstiges</t>
        </is>
      </c>
      <c r="D95" s="97">
        <f>IF(G42=0,"",IF(G42="","",IF(G42&gt;0,G42*-1,G42)))</f>
        <v/>
      </c>
      <c r="E95" s="97">
        <f>IF(G55=0,"",IF(G55="","",IF(G55&gt;0,G55*-1,G55)))</f>
        <v/>
      </c>
      <c r="F95" s="97">
        <f>IF(G68=0,"",IF(G68="","",IF(G68&gt;0,G68*-1,G68)))</f>
        <v/>
      </c>
      <c r="G95" s="97">
        <f>IF(G81=0,"",IF(G81="","",IF(G81&gt;0,G81*-1,G81)))</f>
        <v/>
      </c>
      <c r="H95" s="16" t="n"/>
      <c r="I95" s="16" t="n"/>
    </row>
    <row r="96" hidden="1" ht="35.1" customHeight="1" s="12" thickBot="1">
      <c r="A96" s="94" t="inlineStr">
        <is>
          <t>Ausgaben für 
Bw-Infrastruktur</t>
        </is>
      </c>
      <c r="B96" s="18" t="n"/>
      <c r="C96" s="149" t="inlineStr">
        <is>
          <t>Sonstiges</t>
        </is>
      </c>
      <c r="D96" s="97">
        <f>IF(G43=0,"",IF(G43="","",IF(G43&gt;0,G43*-1,G43)))</f>
        <v/>
      </c>
      <c r="E96" s="97">
        <f>IF(G56=0,"",IF(G56="","",IF(G56&gt;0,G56*-1,G56)))</f>
        <v/>
      </c>
      <c r="F96" s="97">
        <f>IF(G69=0,"",IF(G69="","",IF(G69&gt;0,G69*-1,G69)))</f>
        <v/>
      </c>
      <c r="G96" s="97">
        <f>IF(G82=0,"",IF(G82="","",IF(G82&gt;0,G82*-1,G82)))</f>
        <v/>
      </c>
      <c r="H96" s="16" t="n"/>
      <c r="I96" s="16" t="n"/>
    </row>
    <row r="97" hidden="1" ht="35.1" customHeight="1" s="12" thickBot="1">
      <c r="A97" s="98" t="n"/>
      <c r="B97" s="99" t="n"/>
      <c r="C97" s="149" t="inlineStr">
        <is>
          <t>interne
Unterbringung</t>
        </is>
      </c>
      <c r="D97" s="97">
        <f>IF(G44=0,"",IF(G44="","",IF(G44&gt;0,G44*-1,G44)))</f>
        <v/>
      </c>
      <c r="E97" s="92">
        <f>IF(G57=0,"",IF(G57="","",IF(G57&gt;0,G57*-1,G57)))</f>
        <v/>
      </c>
      <c r="F97" s="92">
        <f>IF(G70=0,"",IF(G70="","",IF(G70&gt;0,G70*-1,G70)))</f>
        <v/>
      </c>
      <c r="G97" s="92">
        <f>IF(G83=0,"",IF(G83="","",IF(G83&gt;0,G83*-1,G83)))</f>
        <v/>
      </c>
      <c r="H97" s="16" t="n"/>
      <c r="I97" s="16" t="n"/>
    </row>
    <row r="98" hidden="1" ht="35.1" customHeight="1" s="12">
      <c r="A98" s="258" t="inlineStr">
        <is>
          <t>Ausgaben für 
sonstige Dienstleistungen</t>
        </is>
      </c>
      <c r="B98" s="259" t="n"/>
      <c r="C98" s="139" t="inlineStr">
        <is>
          <t>externe
Dienstleistung</t>
        </is>
      </c>
      <c r="D98" s="100">
        <f>IF(G45=0,"",IF(G45="","",IF(G45&gt;0,G45*-1,G45)))</f>
        <v/>
      </c>
      <c r="E98" s="100">
        <f>IF(G58=0,"",IF(G58="","",IF(G58&gt;0,G58*-1,G58)))</f>
        <v/>
      </c>
      <c r="F98" s="100">
        <f>IF(G71=0,"",IF(G71="","",IF(G71&gt;0,G71*-1,G71)))</f>
        <v/>
      </c>
      <c r="G98" s="100">
        <f>IF(G84=0,"",IF(G84="","",IF(G84&gt;0,G84*-1,G84)))</f>
        <v/>
      </c>
      <c r="H98" s="16" t="n"/>
      <c r="I98" s="16" t="n"/>
    </row>
    <row r="99" hidden="1" ht="35.1" customHeight="1" s="12">
      <c r="A99" s="260" t="n"/>
      <c r="B99" s="261" t="n"/>
      <c r="C99" s="150" t="inlineStr">
        <is>
          <t>externe 
Prüfung</t>
        </is>
      </c>
      <c r="D99" s="101">
        <f>IF(G46=0,"",IF(G46="","",IF(G46&gt;0,G46*-1,G46)))</f>
        <v/>
      </c>
      <c r="E99" s="101">
        <f>IF(G59=0,"",IF(G59="","",IF(G59&gt;0,G59*-1,G59)))</f>
        <v/>
      </c>
      <c r="F99" s="101">
        <f>IF(G72=0,"",IF(G72="","",IF(G72&gt;0,G72*-1,G72)))</f>
        <v/>
      </c>
      <c r="G99" s="101">
        <f>IF(G85=0,"",IF(G85="","",IF(G85&gt;0,G85*-1,G85)))</f>
        <v/>
      </c>
      <c r="H99" s="16" t="n"/>
      <c r="I99" s="16" t="n"/>
    </row>
    <row r="100" hidden="1" ht="35.1" customHeight="1" s="12">
      <c r="A100" s="260" t="n"/>
      <c r="B100" s="261" t="n"/>
      <c r="C100" s="150" t="inlineStr">
        <is>
          <t>externe 
Wartung</t>
        </is>
      </c>
      <c r="D100" s="101">
        <f>IF(G47=0,"",IF(G47="","",IF(G47&gt;0,G47*-1,G47)))</f>
        <v/>
      </c>
      <c r="E100" s="101">
        <f>IF(G60=0,"",IF(G60="","",IF(G60&gt;0,G60*-1,G60)))</f>
        <v/>
      </c>
      <c r="F100" s="101">
        <f>IF(G73=0,"",IF(G73="","",IF(G73&gt;0,G73*-1,G73)))</f>
        <v/>
      </c>
      <c r="G100" s="101">
        <f>IF(G86=0,"",IF(G86="","",IF(G86&gt;0,G86*-1,G86)))</f>
        <v/>
      </c>
      <c r="H100" s="16" t="n"/>
      <c r="I100" s="16" t="n"/>
    </row>
    <row r="101" hidden="1" ht="35.1" customHeight="1" s="12">
      <c r="A101" s="260" t="n"/>
      <c r="B101" s="261" t="n"/>
      <c r="C101" s="151" t="inlineStr">
        <is>
          <t>externe 
Lizenzen</t>
        </is>
      </c>
      <c r="D101" s="101">
        <f>IF(G48=0,"",IF(G48="","",IF(G48&gt;0,G48*-1,G48)))</f>
        <v/>
      </c>
      <c r="E101" s="101">
        <f>IF(G61=0,"",IF(G61="","",IF(G61&gt;0,G61*-1,G61)))</f>
        <v/>
      </c>
      <c r="F101" s="101">
        <f>IF(G74=0,"",IF(G74="","",IF(G74&gt;0,G74*-1,G74)))</f>
        <v/>
      </c>
      <c r="G101" s="101">
        <f>IF(G87=0,"",IF(G87="","",IF(G87&gt;0,G87*-1,G87)))</f>
        <v/>
      </c>
      <c r="H101" s="16" t="n"/>
      <c r="I101" s="16" t="n"/>
    </row>
    <row r="102" hidden="1" ht="35.1" customHeight="1" s="12" thickBot="1">
      <c r="A102" s="262" t="n"/>
      <c r="B102" s="244" t="n"/>
      <c r="C102" s="149" t="inlineStr">
        <is>
          <t>Sonstiges</t>
        </is>
      </c>
      <c r="D102" s="102">
        <f>IF(G49=0,"",IF(G49="","",IF(G49&gt;0,G49*-1,G49)))</f>
        <v/>
      </c>
      <c r="E102" s="102">
        <f>IF(G62=0,"",IF(G62="","",IF(G62&gt;0,G62*-1,G62)))</f>
        <v/>
      </c>
      <c r="F102" s="102">
        <f>IF(G75=0,"",IF(G75="","",IF(G75&gt;0,G75*-1,G75)))</f>
        <v/>
      </c>
      <c r="G102" s="102">
        <f>IF(G88=0,"",IF(G88="","",IF(G88&gt;0,G88*-1,G88)))</f>
        <v/>
      </c>
      <c r="H102" s="16" t="n"/>
      <c r="I102" s="16" t="n"/>
    </row>
    <row r="103" hidden="1" ht="15.75" customHeight="1" s="12" thickBot="1">
      <c r="A103" s="216" t="inlineStr">
        <is>
          <t>Gesamtsumme (ohne Risiko)</t>
        </is>
      </c>
      <c r="B103" s="263" t="n"/>
      <c r="C103" s="263" t="n"/>
      <c r="D103" s="103">
        <f>IF(SUM(D94:D102)&lt;0,SUM(D94:D102),"")</f>
        <v/>
      </c>
      <c r="E103" s="103">
        <f>IF(SUM(E94:E102)&lt;0,SUM(E94:E102),"")</f>
        <v/>
      </c>
      <c r="F103" s="103">
        <f>IF(SUM(F94:F102)&lt;0,SUM(F94:F102),"")</f>
        <v/>
      </c>
      <c r="G103" s="103">
        <f>IF(SUM(G94:G102)&lt;0,SUM(G94:G102),"")</f>
        <v/>
      </c>
      <c r="H103" s="16" t="n"/>
      <c r="I103" s="16" t="n"/>
    </row>
    <row r="104" ht="20.1" customHeight="1" s="12" thickBot="1">
      <c r="A104" s="242" t="inlineStr">
        <is>
          <t>5. Risikoberücksichtigung</t>
        </is>
      </c>
      <c r="B104" s="236" t="n"/>
      <c r="C104" s="236" t="n"/>
      <c r="D104" s="236" t="n"/>
      <c r="E104" s="236" t="n"/>
      <c r="F104" s="236" t="n"/>
      <c r="G104" s="237" t="n"/>
      <c r="H104" s="16" t="n"/>
      <c r="I104" s="16" t="n"/>
    </row>
    <row r="105" hidden="1" ht="42.75" customHeight="1" s="12" thickBot="1">
      <c r="A105" s="104" t="n"/>
      <c r="B105" s="226" t="inlineStr">
        <is>
          <t>Kein Risiko berücksichtigt</t>
        </is>
      </c>
      <c r="C105" s="236" t="n"/>
      <c r="D105" s="236" t="n"/>
      <c r="E105" s="237" t="n"/>
      <c r="F105" s="66" t="inlineStr">
        <is>
          <t>Schadenshöhe</t>
        </is>
      </c>
      <c r="G105" s="41" t="inlineStr">
        <is>
          <t>Eintritts-wahrschein-lichkeit</t>
        </is>
      </c>
      <c r="H105" s="16" t="n"/>
      <c r="I105" s="133" t="inlineStr">
        <is>
          <t>Hinweise zur Riskobetrachtung</t>
        </is>
      </c>
    </row>
    <row r="106" hidden="1" ht="52.5" customHeight="1" s="12" thickBot="1">
      <c r="A106" s="264" t="inlineStr">
        <is>
          <t>Option/-en:
Es kann zum Ausfall des Leistungserbringers kommen. 
Dadurch würden folgende Ausgaben entstehen:</t>
        </is>
      </c>
      <c r="B106" s="236" t="n"/>
      <c r="C106" s="236" t="n"/>
      <c r="D106" s="236" t="n"/>
      <c r="E106" s="237" t="n"/>
      <c r="F106" s="105" t="n">
        <v>1000</v>
      </c>
      <c r="G106" s="106" t="n">
        <v>0.05</v>
      </c>
      <c r="H106" s="16" t="n"/>
      <c r="I106" s="136" t="n"/>
    </row>
    <row r="107" hidden="1" ht="52.5" customHeight="1" s="12" thickBot="1">
      <c r="A107" s="264" t="inlineStr">
        <is>
          <t>Option/-en:
Es kann zum Ausfall der Leistungserbringung kommen. 
Dadurch würden folgende Ausgaben entstehen:</t>
        </is>
      </c>
      <c r="B107" s="236" t="n"/>
      <c r="C107" s="236" t="n"/>
      <c r="D107" s="236" t="n"/>
      <c r="E107" s="237" t="n"/>
      <c r="F107" s="105" t="n">
        <v>500</v>
      </c>
      <c r="G107" s="106" t="n">
        <v>0.15</v>
      </c>
      <c r="H107" s="16" t="n"/>
      <c r="I107" s="16" t="n"/>
    </row>
    <row r="108" ht="20.1" customHeight="1" s="12" thickBot="1">
      <c r="A108" s="242" t="inlineStr">
        <is>
          <t>6. Berechnung der Optionen (mit Risiko)</t>
        </is>
      </c>
      <c r="B108" s="236" t="n"/>
      <c r="C108" s="236" t="n"/>
      <c r="D108" s="236" t="n"/>
      <c r="E108" s="236" t="n"/>
      <c r="F108" s="236" t="n"/>
      <c r="G108" s="237" t="n"/>
      <c r="H108" s="16" t="n"/>
      <c r="I108" s="16" t="n"/>
    </row>
    <row r="109" hidden="1" ht="15.75" customHeight="1" s="12" thickBot="1">
      <c r="A109" s="216" t="inlineStr">
        <is>
          <t>Gesamtsumme ohne Risiko (Vgl. 4.)</t>
        </is>
      </c>
      <c r="B109" s="263" t="n"/>
      <c r="C109" s="263" t="n"/>
      <c r="D109" s="103">
        <f>D103</f>
        <v/>
      </c>
      <c r="E109" s="103">
        <f>E103</f>
        <v/>
      </c>
      <c r="F109" s="103">
        <f>F103</f>
        <v/>
      </c>
      <c r="G109" s="103">
        <f>G103</f>
        <v/>
      </c>
      <c r="H109" s="16" t="n"/>
      <c r="I109" s="16" t="n"/>
    </row>
    <row r="110" hidden="1" ht="24" customHeight="1" s="12" thickBot="1">
      <c r="A110" s="31" t="inlineStr">
        <is>
          <t>Berücksichtigung
Risiken</t>
        </is>
      </c>
      <c r="B110" s="265" t="n"/>
      <c r="C110" s="107" t="inlineStr">
        <is>
          <t>Risiko 1</t>
        </is>
      </c>
      <c r="D110" s="110">
        <f>IF($D$109="","",IF(AND(L106="",$F$106=0,$G$106=0),"",IF(AND($F$106=0,$G$106=0),"",IF(AND(L106="wahr",$F$106&gt;0),($F$106*$G$106)*-1,IF(AND(L106="wahr",$F$106&lt;0),$F$106*$G$106,"")))))</f>
        <v/>
      </c>
      <c r="E110" s="110">
        <f>IF($E$109="","",IF(AND(M106="",$F$106=0,$G$106=0),"",IF(AND($F$106=0,$G$106=0),"",IF(AND(M106="wahr",$F$106&gt;0),($F$106*$G$106)*-1,IF(AND(M106="wahr",$F$106&lt;0),$F$106*$G$106,"")))))</f>
        <v/>
      </c>
      <c r="F110" s="110">
        <f>IF($F$109="","",IF(AND(J106="",$F$106=0,$G$107=0),"",IF(AND($F$106=0,$G$106=0),"",IF(AND(J106="wahr",$F$106&gt;0),($F$106*$G$106)*-1,IF(AND(J106="wahr",$F$106&lt;0),$F$106*$G$106,"")))))</f>
        <v/>
      </c>
      <c r="G110" s="108">
        <f>IF($G$109="","",IF(AND(K106="",$F$106=0,$G$106=0),"",IF(AND($F$106=0,$G$106=0),"",IF(AND(K106="wahr",$F$106&gt;0),($F$106*$G$106)*-1,IF(AND(K106="wahr",$F$106&lt;0),$F$106*$G$106,"")))))</f>
        <v/>
      </c>
      <c r="H110" s="16" t="n"/>
      <c r="I110" s="16" t="n"/>
    </row>
    <row r="111" hidden="1" ht="24" customHeight="1" s="12" thickBot="1">
      <c r="A111" s="262" t="n"/>
      <c r="B111" s="245" t="n"/>
      <c r="C111" s="109" t="inlineStr">
        <is>
          <t>Risiko 2</t>
        </is>
      </c>
      <c r="D111" s="110">
        <f>IF($D$109="","",IF(AND(L107="",$F$107=0,$G$107=0),"",IF(AND($F$107=0,$G$107=0),"",IF(AND(L107="wahr",$F$107&gt;0),($F$107*$G$107)*-1,IF(AND(L107="wahr",$F$107&lt;0),$F$107*$G$107,"")))))</f>
        <v/>
      </c>
      <c r="E111" s="110">
        <f>IF($E$109="","",IF(AND(M107="",$F$107=0,$G$107=0),"",IF(AND($F$107=0,$G$107=0),"",IF(AND(M107="wahr",$F$107&gt;0),($F$107*$G$107)*-1,IF(AND(M107="wahr",$F$107&lt;0),$F$107*$G$107,"")))))</f>
        <v/>
      </c>
      <c r="F111" s="110">
        <f>IF($F$109="","",IF(AND(J107="",$F$107=0,$G$107=0),"",IF(AND($F$107=0,$G$107=0),"",IF(AND(J107="wahr",$F$107&gt;0),($F$107*$G$107)*-1,IF(AND(J107="wahr",$F$107&lt;0),$F$107*$G$107,"")))))</f>
        <v/>
      </c>
      <c r="G111" s="108">
        <f>IF($G$109="","",IF(AND(K107="",$F$107=0,$G$107=0),"",IF(AND($F$107=0,$G$107=0),"",IF(AND(K107="wahr",$F$107&gt;0),($F$107*$G$107)*-1,IF(AND(K107="wahr",$F$107&lt;0),$F$107*$G$107,"")))))</f>
        <v/>
      </c>
      <c r="H111" s="16" t="n"/>
      <c r="I111" s="16" t="n"/>
    </row>
    <row r="112" hidden="1" ht="15.75" customHeight="1" s="12" thickBot="1">
      <c r="A112" s="216" t="inlineStr">
        <is>
          <t>Gesamtsumme mit Risiko</t>
        </is>
      </c>
      <c r="B112" s="263" t="n"/>
      <c r="C112" s="263" t="n"/>
      <c r="D112" s="111">
        <f>IF(D109="","",SUM(D109:D111))</f>
        <v/>
      </c>
      <c r="E112" s="111">
        <f>IF(E109="","",SUM(E109:E111))</f>
        <v/>
      </c>
      <c r="F112" s="111">
        <f>IF(F109="","",SUM(F109:F111))</f>
        <v/>
      </c>
      <c r="G112" s="111">
        <f>IF(G109="","",SUM(G109:G111))</f>
        <v/>
      </c>
      <c r="H112" s="16" t="n"/>
      <c r="I112" s="16" t="n"/>
    </row>
    <row r="113" ht="20.1" customHeight="1" s="12" thickBot="1">
      <c r="A113" s="242" t="inlineStr">
        <is>
          <t>7. Entscheidungsvorschlag</t>
        </is>
      </c>
      <c r="B113" s="236" t="n"/>
      <c r="C113" s="236" t="n"/>
      <c r="D113" s="236" t="n"/>
      <c r="E113" s="236" t="n"/>
      <c r="F113" s="236" t="n"/>
      <c r="G113" s="237" t="n"/>
      <c r="H113" s="16" t="n"/>
      <c r="I113" s="16" t="n"/>
    </row>
    <row r="114" hidden="1" ht="48" customHeight="1" s="12" thickBot="1">
      <c r="A114" s="266" t="inlineStr">
        <is>
          <t>Die wirtschaftlichste Option, die den Bedarf deckt, die Rahmenbedingungen erfüllt und deren Einleitung zur Vergabe empfohlen wird, ist:
(und beinhaltet Ausgaben inklusive Risikowert)</t>
        </is>
      </c>
      <c r="B114" s="236" t="n"/>
      <c r="C114" s="236" t="n"/>
      <c r="D114" s="236" t="n"/>
      <c r="E114" s="237" t="n"/>
      <c r="F114" s="267">
        <f>IF(G114=0,"",IF(G114="","",IF(H1=D112,D90,IF(H1=E112,E90,IF(H1=F112,F90,IF(H1=G112,G90,""))))))</f>
        <v/>
      </c>
      <c r="G114" s="113">
        <f>IF(AND(D112="",E112="",F112="",G112="",D103="",E103="",F103="",G103=""),"",IF(AND(D112="",E112="",F112="",G112=""),IF(MIN(D103:G103)&lt;0,MAX(D103:G103),""),IF(MIN(D112:G112)&lt;0,MAX(D112:G112),"")))</f>
        <v/>
      </c>
      <c r="H114" s="16" t="n"/>
      <c r="I114" s="16" t="n"/>
    </row>
    <row r="115" hidden="1" ht="23.25" customHeight="1" s="12" thickBot="1">
      <c r="A115" s="220" t="inlineStr">
        <is>
          <t>Bezeichnung der Option:</t>
        </is>
      </c>
      <c r="B115" s="236" t="n"/>
      <c r="C115" s="219" t="inlineStr">
        <is>
          <t>Option 4 – Externer Dienstleister</t>
        </is>
      </c>
      <c r="D115" s="236" t="n"/>
      <c r="E115" s="236" t="n"/>
      <c r="F115" s="236" t="n"/>
      <c r="G115" s="237" t="n"/>
      <c r="H115" s="16" t="n"/>
      <c r="I115" s="16" t="n"/>
    </row>
    <row r="116" ht="20.1" customHeight="1" s="12" thickBot="1">
      <c r="A116" s="242" t="inlineStr">
        <is>
          <t>Die einzig bedarfsdeckende Option ist Option 4 – Externer Dienstleister. Die Gesamtkosten belaufen sich auf 42.625 EUR (inkl. Risikowert). Optionen 1–3 scheiden mangels verfügbarer Spezialausrüstung und -kompetenz aus. Die Beauftragung eines spezialisierten externen Reinigungsunternehmens ist die einzige wirtschaftlich und fachlich vertretbare Lösung zur Wiederherstellung der sicheren Nutzbarkeit der Tartanbahn am Standort Wilhelmshaven.</t>
        </is>
      </c>
      <c r="B116" s="236" t="n"/>
      <c r="C116" s="236" t="n"/>
      <c r="D116" s="236" t="n"/>
      <c r="E116" s="236" t="n"/>
      <c r="F116" s="236" t="n"/>
      <c r="G116" s="237" t="n"/>
      <c r="H116" s="16" t="n"/>
      <c r="I116" s="16" t="n"/>
    </row>
    <row r="117" hidden="1" ht="42" customHeight="1" s="12" thickBot="1">
      <c r="A117" s="268" t="inlineStr">
        <is>
          <t>Die Erfolgskontrolle erfolgt unmittelbar nach Abschluss der Reinigungsarbeiten durch den Maßnahmenverantwortlichen Herrn Thorsten Ritter oder einen von ihm beauftragten Vertreter. Grundlage der Abnahme ist eine visuelle Sichtkontrolle der gesamten Tartanbahnfläche (4.200 m²) auf vollständige Entfernung von Moos- und Algenbewuchs sowie die Prüfung der Belagsunversehrtheit (keine Risse, Ablösungen oder sichtbare Beschädigungen). Die Abnahme wird schriftlich im Abnahmeprotokoll dokumentiert. Bei festgestellten Mängeln ist der Dienstleister zur Nachbesserung auf eigene Kosten verpflichtet.</t>
        </is>
      </c>
      <c r="B117" s="236" t="n"/>
      <c r="C117" s="236" t="n"/>
      <c r="D117" s="236" t="n"/>
      <c r="E117" s="236" t="n"/>
      <c r="F117" s="236" t="n"/>
      <c r="G117" s="237" t="n"/>
      <c r="H117" s="16" t="n"/>
      <c r="I117" s="137" t="n"/>
    </row>
    <row r="118">
      <c r="A118" s="15" t="n"/>
      <c r="B118" s="15" t="n"/>
      <c r="C118" s="15" t="n"/>
      <c r="D118" s="15" t="n"/>
      <c r="E118" s="15" t="n"/>
      <c r="F118" s="15" t="n"/>
      <c r="G118" s="15" t="n"/>
      <c r="H118" s="14" t="n"/>
      <c r="I118" s="14" t="n"/>
    </row>
    <row r="119">
      <c r="A119" s="15" t="n"/>
      <c r="B119" s="15" t="n"/>
      <c r="C119" s="15" t="n"/>
      <c r="D119" s="15" t="n"/>
      <c r="E119" s="15" t="n"/>
      <c r="F119" s="15" t="n"/>
      <c r="G119" s="15" t="n"/>
      <c r="H119" s="14" t="n"/>
      <c r="I119" s="14" t="n"/>
    </row>
    <row r="120">
      <c r="A120" s="15" t="n"/>
      <c r="B120" s="15" t="n"/>
      <c r="C120" s="15" t="n"/>
      <c r="D120" s="15" t="n"/>
      <c r="E120" s="15" t="n"/>
      <c r="F120" s="15" t="n"/>
      <c r="G120" s="15" t="n"/>
      <c r="H120" s="14" t="n"/>
      <c r="I120" s="14" t="n"/>
    </row>
    <row r="121">
      <c r="A121" s="15" t="n"/>
      <c r="B121" s="15" t="n"/>
      <c r="C121" s="15" t="n"/>
      <c r="D121" s="15" t="n"/>
      <c r="E121" s="15" t="n"/>
      <c r="F121" s="15" t="n"/>
      <c r="G121" s="15" t="n"/>
      <c r="H121" s="14" t="n"/>
      <c r="I121" s="14" t="n"/>
    </row>
    <row r="122">
      <c r="A122" s="15" t="n"/>
      <c r="B122" s="15" t="n"/>
      <c r="C122" s="15" t="n"/>
      <c r="D122" s="15" t="n"/>
      <c r="E122" s="15" t="n"/>
      <c r="F122" s="15" t="n"/>
      <c r="G122" s="15" t="n"/>
      <c r="H122" s="14" t="n"/>
      <c r="I122" s="14" t="n"/>
    </row>
    <row r="123">
      <c r="A123" s="15" t="n"/>
      <c r="B123" s="15" t="n"/>
      <c r="C123" s="15" t="n"/>
      <c r="D123" s="15" t="n"/>
      <c r="E123" s="15" t="n"/>
      <c r="F123" s="15" t="n"/>
      <c r="G123" s="15" t="n"/>
      <c r="H123" s="14" t="n"/>
      <c r="I123" s="14" t="n"/>
    </row>
    <row r="124">
      <c r="A124" s="15" t="n"/>
      <c r="B124" s="15" t="n"/>
      <c r="C124" s="15" t="n"/>
      <c r="D124" s="15" t="n"/>
      <c r="E124" s="15" t="n"/>
      <c r="F124" s="15" t="n"/>
      <c r="G124" s="15" t="n"/>
      <c r="H124" s="14" t="n"/>
      <c r="I124" s="14" t="n"/>
    </row>
    <row r="125">
      <c r="A125" s="15" t="n"/>
      <c r="B125" s="15" t="n"/>
      <c r="C125" s="15" t="n"/>
      <c r="D125" s="15" t="n"/>
      <c r="E125" s="15" t="n"/>
      <c r="F125" s="15" t="n"/>
      <c r="G125" s="15" t="n"/>
      <c r="H125" s="14" t="n"/>
      <c r="I125" s="14" t="n"/>
    </row>
    <row r="126">
      <c r="A126" s="15" t="n"/>
      <c r="B126" s="15" t="n"/>
      <c r="C126" s="15" t="n"/>
      <c r="D126" s="15" t="n"/>
      <c r="E126" s="15" t="n"/>
      <c r="F126" s="15" t="n"/>
      <c r="G126" s="15" t="n"/>
      <c r="H126" s="14" t="n"/>
      <c r="I126" s="14" t="n"/>
    </row>
    <row r="127">
      <c r="A127" s="15" t="n"/>
      <c r="B127" s="15" t="n"/>
      <c r="C127" s="15" t="n"/>
      <c r="D127" s="15" t="n"/>
      <c r="E127" s="15" t="n"/>
      <c r="F127" s="15" t="n"/>
      <c r="G127" s="15" t="n"/>
      <c r="H127" s="14" t="n"/>
      <c r="I127" s="14" t="n"/>
    </row>
    <row r="128">
      <c r="A128" s="15" t="n"/>
      <c r="B128" s="15" t="n"/>
      <c r="C128" s="15" t="n"/>
      <c r="D128" s="15" t="n"/>
      <c r="E128" s="15" t="n"/>
      <c r="F128" s="15" t="n"/>
      <c r="G128" s="15" t="n"/>
      <c r="H128" s="14" t="n"/>
      <c r="I128" s="14" t="n"/>
    </row>
    <row r="129">
      <c r="A129" s="15" t="n"/>
      <c r="B129" s="15" t="n"/>
      <c r="C129" s="15" t="n"/>
      <c r="D129" s="15" t="n"/>
      <c r="E129" s="15" t="n"/>
      <c r="F129" s="15" t="n"/>
      <c r="G129" s="15" t="n"/>
      <c r="H129" s="14" t="n"/>
      <c r="I129" s="14" t="n"/>
    </row>
    <row r="130">
      <c r="A130" s="15" t="n"/>
      <c r="B130" s="15" t="n"/>
      <c r="C130" s="15" t="n"/>
      <c r="D130" s="15" t="n"/>
      <c r="E130" s="15" t="n"/>
      <c r="F130" s="15" t="n"/>
      <c r="G130" s="15" t="n"/>
      <c r="H130" s="14" t="n"/>
      <c r="I130" s="14" t="n"/>
    </row>
    <row r="131">
      <c r="A131" s="15" t="n"/>
      <c r="B131" s="15" t="n"/>
      <c r="C131" s="15" t="n"/>
      <c r="D131" s="15" t="n"/>
      <c r="E131" s="15" t="n"/>
      <c r="F131" s="15" t="n"/>
      <c r="G131" s="15" t="n"/>
      <c r="H131" s="14" t="n"/>
      <c r="I131" s="14" t="n"/>
    </row>
    <row r="132">
      <c r="A132" s="15" t="n"/>
      <c r="B132" s="15" t="n"/>
      <c r="C132" s="15" t="n"/>
      <c r="D132" s="15" t="n"/>
      <c r="E132" s="15" t="n"/>
      <c r="F132" s="15" t="n"/>
      <c r="G132" s="15" t="n"/>
      <c r="H132" s="14" t="n"/>
      <c r="I132" s="14" t="n"/>
    </row>
    <row r="133">
      <c r="A133" s="15" t="n"/>
      <c r="B133" s="15" t="n"/>
      <c r="C133" s="15" t="n"/>
      <c r="D133" s="15" t="n"/>
      <c r="E133" s="15" t="n"/>
      <c r="F133" s="15" t="n"/>
      <c r="G133" s="15" t="n"/>
      <c r="H133" s="14" t="n"/>
      <c r="I133" s="14" t="n"/>
    </row>
    <row r="134">
      <c r="A134" s="15" t="n"/>
      <c r="B134" s="15" t="n"/>
      <c r="C134" s="15" t="n"/>
      <c r="D134" s="15" t="n"/>
      <c r="E134" s="15" t="n"/>
      <c r="F134" s="15" t="n"/>
      <c r="G134" s="15" t="n"/>
      <c r="H134" s="14" t="n"/>
      <c r="I134" s="14" t="n"/>
    </row>
    <row r="135">
      <c r="A135" s="15" t="n"/>
      <c r="B135" s="15" t="n"/>
      <c r="C135" s="15" t="n"/>
      <c r="D135" s="15" t="n"/>
      <c r="E135" s="15" t="n"/>
      <c r="F135" s="15" t="n"/>
      <c r="G135" s="15" t="n"/>
      <c r="H135" s="14" t="n"/>
      <c r="I135" s="14" t="n"/>
    </row>
    <row r="136">
      <c r="A136" s="15" t="n"/>
      <c r="B136" s="15" t="n"/>
      <c r="C136" s="15" t="n"/>
      <c r="D136" s="15" t="n"/>
      <c r="E136" s="15" t="n"/>
      <c r="F136" s="15" t="n"/>
      <c r="G136" s="15" t="n"/>
      <c r="H136" s="14" t="n"/>
      <c r="I136" s="14" t="n"/>
    </row>
    <row r="137">
      <c r="A137" s="15" t="n"/>
      <c r="B137" s="15" t="n"/>
      <c r="C137" s="15" t="n"/>
      <c r="D137" s="15" t="n"/>
      <c r="E137" s="15" t="n"/>
      <c r="F137" s="15" t="n"/>
      <c r="G137" s="15" t="n"/>
      <c r="H137" s="14" t="n"/>
      <c r="I137" s="14" t="n"/>
    </row>
    <row r="138">
      <c r="A138" s="15" t="n"/>
      <c r="B138" s="15" t="n"/>
      <c r="C138" s="15" t="n"/>
      <c r="D138" s="15" t="n"/>
      <c r="E138" s="15" t="n"/>
      <c r="F138" s="15" t="n"/>
      <c r="G138" s="15" t="n"/>
      <c r="H138" s="14" t="n"/>
      <c r="I138" s="14" t="n"/>
    </row>
    <row r="139">
      <c r="A139" s="15" t="n"/>
      <c r="B139" s="15" t="n"/>
      <c r="C139" s="15" t="n"/>
      <c r="D139" s="15" t="n"/>
      <c r="E139" s="15" t="n"/>
      <c r="F139" s="15" t="n"/>
      <c r="G139" s="15" t="n"/>
      <c r="H139" s="14" t="n"/>
      <c r="I139" s="14" t="n"/>
    </row>
    <row r="140">
      <c r="A140" s="15" t="n"/>
      <c r="B140" s="15" t="n"/>
      <c r="C140" s="15" t="n"/>
      <c r="D140" s="15" t="n"/>
      <c r="E140" s="15" t="n"/>
      <c r="F140" s="15" t="n"/>
      <c r="G140" s="15" t="n"/>
      <c r="H140" s="14" t="n"/>
      <c r="I140" s="14" t="n"/>
    </row>
    <row r="141">
      <c r="A141" s="15" t="n"/>
      <c r="B141" s="15" t="n"/>
      <c r="C141" s="15" t="n"/>
      <c r="D141" s="15" t="n"/>
      <c r="E141" s="15" t="n"/>
      <c r="F141" s="15" t="n"/>
      <c r="G141" s="15" t="n"/>
      <c r="H141" s="14" t="n"/>
      <c r="I141" s="14" t="n"/>
    </row>
    <row r="142">
      <c r="A142" s="15" t="n"/>
      <c r="B142" s="15" t="n"/>
      <c r="C142" s="15" t="n"/>
      <c r="D142" s="15" t="n"/>
      <c r="E142" s="15" t="n"/>
      <c r="F142" s="15" t="n"/>
      <c r="G142" s="15" t="n"/>
      <c r="H142" s="14" t="n"/>
      <c r="I142" s="14" t="n"/>
    </row>
    <row r="143">
      <c r="A143" s="15" t="n"/>
      <c r="B143" s="15" t="n"/>
      <c r="C143" s="15" t="n"/>
      <c r="D143" s="15" t="n"/>
      <c r="E143" s="15" t="n"/>
      <c r="F143" s="15" t="n"/>
      <c r="G143" s="15" t="n"/>
      <c r="H143" s="14" t="n"/>
      <c r="I143" s="14" t="n"/>
    </row>
    <row r="144">
      <c r="A144" s="15" t="n"/>
      <c r="B144" s="15" t="n"/>
      <c r="C144" s="15" t="n"/>
      <c r="D144" s="15" t="n"/>
      <c r="E144" s="15" t="n"/>
      <c r="F144" s="15" t="n"/>
      <c r="G144" s="15" t="n"/>
      <c r="H144" s="14" t="n"/>
      <c r="I144" s="14" t="n"/>
    </row>
    <row r="145">
      <c r="A145" s="15" t="n"/>
      <c r="B145" s="15" t="n"/>
      <c r="C145" s="15" t="n"/>
      <c r="D145" s="15" t="n"/>
      <c r="E145" s="15" t="n"/>
      <c r="F145" s="15" t="n"/>
      <c r="G145" s="15" t="n"/>
      <c r="H145" s="14" t="n"/>
      <c r="I145" s="14" t="n"/>
    </row>
    <row r="146">
      <c r="A146" s="15" t="n"/>
      <c r="B146" s="15" t="n"/>
      <c r="C146" s="15" t="n"/>
      <c r="D146" s="15" t="n"/>
      <c r="E146" s="15" t="n"/>
      <c r="F146" s="15" t="n"/>
      <c r="G146" s="15" t="n"/>
      <c r="H146" s="14" t="n"/>
      <c r="I146" s="14" t="n"/>
    </row>
    <row r="147">
      <c r="A147" s="15" t="n"/>
      <c r="B147" s="15" t="n"/>
      <c r="C147" s="15" t="n"/>
      <c r="D147" s="15" t="n"/>
      <c r="E147" s="15" t="n"/>
      <c r="F147" s="15" t="n"/>
      <c r="G147" s="15" t="n"/>
      <c r="H147" s="14" t="n"/>
      <c r="I147" s="14" t="n"/>
    </row>
    <row r="148">
      <c r="A148" s="15" t="n"/>
      <c r="B148" s="15" t="n"/>
      <c r="C148" s="15" t="n"/>
      <c r="D148" s="15" t="n"/>
      <c r="E148" s="15" t="n"/>
      <c r="F148" s="15" t="n"/>
      <c r="G148" s="15" t="n"/>
      <c r="H148" s="14" t="n"/>
      <c r="I148" s="14" t="n"/>
    </row>
    <row r="149" ht="18" customHeight="1" s="12">
      <c r="A149" s="15" t="n"/>
      <c r="B149" s="15" t="n"/>
      <c r="C149" s="15" t="n"/>
      <c r="D149" s="15" t="n"/>
      <c r="E149" s="15" t="n"/>
      <c r="F149" s="15" t="n"/>
      <c r="G149" s="15" t="n"/>
      <c r="H149" s="14" t="n"/>
      <c r="I149" s="14" t="n"/>
    </row>
    <row r="150">
      <c r="A150" s="15" t="n"/>
      <c r="B150" s="15" t="n"/>
      <c r="C150" s="15" t="n"/>
      <c r="D150" s="15" t="n"/>
      <c r="E150" s="15" t="n"/>
      <c r="F150" s="15" t="n"/>
      <c r="G150" s="15" t="n"/>
      <c r="H150" s="14" t="n"/>
      <c r="I150" s="14" t="n"/>
    </row>
    <row r="151">
      <c r="A151" s="160" t="n"/>
      <c r="B151" s="160" t="n"/>
      <c r="C151" s="160" t="n"/>
      <c r="D151" s="160" t="n"/>
      <c r="E151" s="160" t="n"/>
      <c r="F151" s="160" t="n"/>
      <c r="G151" s="160" t="n"/>
      <c r="H151" s="160" t="n"/>
      <c r="I151" s="160" t="n"/>
    </row>
    <row r="152">
      <c r="A152" s="160" t="n"/>
      <c r="B152" s="160" t="n"/>
      <c r="C152" s="160" t="n"/>
      <c r="D152" s="160" t="n"/>
      <c r="E152" s="160" t="n"/>
      <c r="F152" s="160" t="n"/>
      <c r="G152" s="160" t="n"/>
      <c r="H152" s="160" t="n"/>
      <c r="I152" s="160" t="n"/>
    </row>
    <row r="153">
      <c r="A153" s="160" t="n"/>
      <c r="B153" s="160" t="n"/>
      <c r="C153" s="160" t="n"/>
      <c r="D153" s="160" t="n"/>
      <c r="E153" s="160" t="n"/>
      <c r="F153" s="160" t="n"/>
      <c r="G153" s="160" t="n"/>
      <c r="H153" s="160" t="n"/>
      <c r="I153" s="160" t="n"/>
    </row>
    <row r="154">
      <c r="A154" s="160" t="n"/>
      <c r="B154" s="160" t="n"/>
      <c r="C154" s="160" t="n"/>
      <c r="D154" s="160" t="n"/>
      <c r="E154" s="160" t="n"/>
      <c r="F154" s="160" t="n"/>
      <c r="G154" s="160" t="n"/>
      <c r="H154" s="160" t="n"/>
      <c r="I154" s="160" t="n"/>
    </row>
    <row r="155">
      <c r="A155" s="160" t="n"/>
      <c r="B155" s="160" t="n"/>
      <c r="C155" s="160" t="n"/>
      <c r="D155" s="160" t="n"/>
      <c r="E155" s="160" t="n"/>
      <c r="F155" s="160" t="n"/>
      <c r="G155" s="160" t="n"/>
      <c r="H155" s="160" t="n"/>
      <c r="I155" s="160" t="n"/>
    </row>
    <row r="156">
      <c r="A156" s="160" t="n"/>
      <c r="B156" s="160" t="n"/>
      <c r="C156" s="160" t="n"/>
      <c r="D156" s="160" t="n"/>
      <c r="E156" s="160" t="n"/>
      <c r="F156" s="160" t="n"/>
      <c r="G156" s="160" t="n"/>
      <c r="H156" s="160" t="n"/>
      <c r="I156" s="160" t="n"/>
    </row>
    <row r="157">
      <c r="A157" s="160" t="n"/>
      <c r="B157" s="160" t="n"/>
      <c r="C157" s="160" t="n"/>
      <c r="D157" s="160" t="n"/>
      <c r="E157" s="160" t="n"/>
      <c r="F157" s="160" t="n"/>
      <c r="G157" s="160" t="n"/>
      <c r="H157" s="160" t="n"/>
      <c r="I157" s="160" t="n"/>
    </row>
    <row r="158">
      <c r="A158" s="160" t="n"/>
      <c r="B158" s="160" t="n"/>
      <c r="C158" s="160" t="n"/>
      <c r="D158" s="160" t="n"/>
      <c r="E158" s="160" t="n"/>
      <c r="F158" s="160" t="n"/>
      <c r="G158" s="160" t="n"/>
      <c r="H158" s="160" t="n"/>
      <c r="I158" s="160" t="n"/>
    </row>
    <row r="159">
      <c r="A159" s="160" t="n"/>
      <c r="B159" s="160" t="n"/>
      <c r="C159" s="160" t="n"/>
      <c r="D159" s="160" t="n"/>
      <c r="E159" s="160" t="n"/>
      <c r="F159" s="160" t="n"/>
      <c r="G159" s="160" t="n"/>
      <c r="H159" s="160" t="n"/>
      <c r="I159" s="160" t="n"/>
    </row>
    <row r="160">
      <c r="A160" s="160" t="n"/>
      <c r="B160" s="160" t="n"/>
      <c r="C160" s="160" t="n"/>
      <c r="D160" s="160" t="n"/>
      <c r="E160" s="160" t="n"/>
      <c r="F160" s="160" t="n"/>
      <c r="G160" s="160" t="n"/>
      <c r="H160" s="160" t="n"/>
      <c r="I160" s="160" t="n"/>
    </row>
    <row r="161">
      <c r="A161" s="160" t="n"/>
      <c r="B161" s="160" t="n"/>
      <c r="C161" s="160" t="n"/>
      <c r="D161" s="160" t="n"/>
      <c r="E161" s="160" t="n"/>
      <c r="F161" s="160" t="n"/>
      <c r="G161" s="160" t="n"/>
      <c r="H161" s="160" t="n"/>
      <c r="I161" s="160" t="n"/>
    </row>
    <row r="162">
      <c r="A162" s="160" t="n"/>
      <c r="B162" s="160" t="n"/>
      <c r="C162" s="160" t="n"/>
      <c r="D162" s="160" t="n"/>
      <c r="E162" s="160" t="n"/>
      <c r="F162" s="160" t="n"/>
      <c r="G162" s="160" t="n"/>
      <c r="H162" s="160" t="n"/>
      <c r="I162" s="160" t="n"/>
    </row>
    <row r="163">
      <c r="A163" s="160" t="n"/>
      <c r="B163" s="160" t="n"/>
      <c r="C163" s="160" t="n"/>
      <c r="D163" s="160" t="n"/>
      <c r="E163" s="160" t="n"/>
      <c r="F163" s="160" t="n"/>
      <c r="G163" s="160" t="n"/>
      <c r="H163" s="160" t="n"/>
      <c r="I163" s="160" t="n"/>
    </row>
    <row r="164">
      <c r="A164" s="160" t="n"/>
      <c r="B164" s="160" t="n"/>
      <c r="C164" s="160" t="n"/>
      <c r="D164" s="160" t="n"/>
      <c r="E164" s="160" t="n"/>
      <c r="F164" s="160" t="n"/>
      <c r="G164" s="160" t="n"/>
      <c r="H164" s="160" t="n"/>
      <c r="I164" s="160" t="n"/>
    </row>
    <row r="165">
      <c r="A165" s="160" t="n"/>
      <c r="B165" s="160" t="n"/>
      <c r="C165" s="160" t="n"/>
      <c r="D165" s="160" t="n"/>
      <c r="E165" s="160" t="n"/>
      <c r="F165" s="160" t="n"/>
      <c r="G165" s="160" t="n"/>
      <c r="H165" s="160" t="n"/>
      <c r="I165" s="160" t="n"/>
    </row>
    <row r="166">
      <c r="A166" s="160" t="n"/>
      <c r="B166" s="160" t="n"/>
      <c r="C166" s="160" t="n"/>
      <c r="D166" s="160" t="n"/>
      <c r="E166" s="160" t="n"/>
      <c r="F166" s="160" t="n"/>
      <c r="G166" s="160" t="n"/>
      <c r="H166" s="160" t="n"/>
      <c r="I166" s="160" t="n"/>
    </row>
    <row r="167">
      <c r="A167" s="160" t="n"/>
      <c r="B167" s="160" t="n"/>
      <c r="C167" s="160" t="n"/>
      <c r="D167" s="160" t="n"/>
      <c r="E167" s="160" t="n"/>
      <c r="F167" s="160" t="n"/>
      <c r="G167" s="160" t="n"/>
      <c r="H167" s="160" t="n"/>
      <c r="I167" s="160" t="n"/>
    </row>
    <row r="168">
      <c r="A168" s="160" t="n"/>
      <c r="B168" s="160" t="n"/>
      <c r="C168" s="160" t="n"/>
      <c r="D168" s="160" t="n"/>
      <c r="E168" s="160" t="n"/>
      <c r="F168" s="160" t="n"/>
      <c r="G168" s="160" t="n"/>
      <c r="H168" s="160" t="n"/>
      <c r="I168" s="160" t="n"/>
    </row>
    <row r="169">
      <c r="A169" s="160" t="n"/>
      <c r="B169" s="160" t="n"/>
      <c r="C169" s="160" t="n"/>
      <c r="D169" s="160" t="n"/>
      <c r="E169" s="160" t="n"/>
      <c r="F169" s="160" t="n"/>
      <c r="G169" s="160" t="n"/>
      <c r="H169" s="160" t="n"/>
      <c r="I169" s="160" t="n"/>
    </row>
  </sheetData>
  <mergeCells count="59">
    <mergeCell ref="A114:E114"/>
    <mergeCell ref="F4:G4"/>
    <mergeCell ref="A90:C90"/>
    <mergeCell ref="A116:G116"/>
    <mergeCell ref="B16:C16"/>
    <mergeCell ref="B84:B88"/>
    <mergeCell ref="A8:G8"/>
    <mergeCell ref="B65:B67"/>
    <mergeCell ref="D25:G25"/>
    <mergeCell ref="A22:G22"/>
    <mergeCell ref="A71:A75"/>
    <mergeCell ref="A69:A70"/>
    <mergeCell ref="A107:E107"/>
    <mergeCell ref="D24:G24"/>
    <mergeCell ref="B77:B80"/>
    <mergeCell ref="B18:C18"/>
    <mergeCell ref="A19:G19"/>
    <mergeCell ref="A117:G117"/>
    <mergeCell ref="A13:G13"/>
    <mergeCell ref="D23:G23"/>
    <mergeCell ref="A98:B102"/>
    <mergeCell ref="D26:G26"/>
    <mergeCell ref="B14:C14"/>
    <mergeCell ref="B17:C17"/>
    <mergeCell ref="A109:C109"/>
    <mergeCell ref="B45:B49"/>
    <mergeCell ref="A58:A62"/>
    <mergeCell ref="G5:G6"/>
    <mergeCell ref="A112:C112"/>
    <mergeCell ref="A36:G36"/>
    <mergeCell ref="A32:A33"/>
    <mergeCell ref="A1:G1"/>
    <mergeCell ref="B105:E105"/>
    <mergeCell ref="B71:B75"/>
    <mergeCell ref="C115:G115"/>
    <mergeCell ref="B52:B54"/>
    <mergeCell ref="A7:G7"/>
    <mergeCell ref="A45:A49"/>
    <mergeCell ref="A110:B111"/>
    <mergeCell ref="A108:G108"/>
    <mergeCell ref="A106:E106"/>
    <mergeCell ref="B58:B62"/>
    <mergeCell ref="A89:G89"/>
    <mergeCell ref="A4:E4"/>
    <mergeCell ref="A84:A88"/>
    <mergeCell ref="B15:C15"/>
    <mergeCell ref="B39:B41"/>
    <mergeCell ref="A103:C103"/>
    <mergeCell ref="A27:G27"/>
    <mergeCell ref="A3:G3"/>
    <mergeCell ref="A21:G21"/>
    <mergeCell ref="A28:A29"/>
    <mergeCell ref="A34:A35"/>
    <mergeCell ref="A115:B115"/>
    <mergeCell ref="A2:G2"/>
    <mergeCell ref="A104:G104"/>
    <mergeCell ref="A82:A83"/>
    <mergeCell ref="A113:G113"/>
    <mergeCell ref="A30:A31"/>
  </mergeCells>
  <conditionalFormatting sqref="G51 G64 G77">
    <cfRule type="cellIs" priority="140" operator="greaterThan" dxfId="51">
      <formula>0</formula>
    </cfRule>
  </conditionalFormatting>
  <conditionalFormatting sqref="C11:G11">
    <cfRule type="expression" priority="127" dxfId="0">
      <formula>$B$11&lt;&gt;""</formula>
    </cfRule>
  </conditionalFormatting>
  <conditionalFormatting sqref="B11:G11">
    <cfRule type="expression" priority="94" dxfId="0">
      <formula>$B$11&lt;&gt;""</formula>
    </cfRule>
  </conditionalFormatting>
  <conditionalFormatting sqref="B9:G9">
    <cfRule type="expression" priority="92" dxfId="0">
      <formula>$B$9&lt;&gt;""</formula>
    </cfRule>
  </conditionalFormatting>
  <conditionalFormatting sqref="E14:G14">
    <cfRule type="expression" priority="81" dxfId="0">
      <formula>$D$14&lt;&gt;""</formula>
    </cfRule>
  </conditionalFormatting>
  <conditionalFormatting sqref="E15:G15">
    <cfRule type="expression" priority="80" dxfId="0">
      <formula>$D$15&lt;&gt;""</formula>
    </cfRule>
  </conditionalFormatting>
  <conditionalFormatting sqref="E16:G16">
    <cfRule type="expression" priority="79" dxfId="0">
      <formula>$D$16&lt;&gt;""</formula>
    </cfRule>
  </conditionalFormatting>
  <conditionalFormatting sqref="E17:G17">
    <cfRule type="expression" priority="78" dxfId="0">
      <formula>$D$17&lt;&gt;""</formula>
    </cfRule>
  </conditionalFormatting>
  <conditionalFormatting sqref="E18:G18">
    <cfRule type="expression" priority="77" dxfId="0">
      <formula>$D$18&lt;&gt;""</formula>
    </cfRule>
  </conditionalFormatting>
  <conditionalFormatting sqref="D42:E42">
    <cfRule type="expression" priority="66" dxfId="0">
      <formula>$D$42&lt;&gt;""</formula>
    </cfRule>
  </conditionalFormatting>
  <conditionalFormatting sqref="A20:G20">
    <cfRule type="expression" priority="60" dxfId="0">
      <formula>$A$20&lt;&gt;""</formula>
    </cfRule>
  </conditionalFormatting>
  <conditionalFormatting sqref="D43:E43">
    <cfRule type="expression" priority="59" dxfId="0">
      <formula>$D$43&lt;&gt;""</formula>
    </cfRule>
  </conditionalFormatting>
  <conditionalFormatting sqref="E41">
    <cfRule type="expression" priority="58" dxfId="0">
      <formula>$D$41&lt;&gt;""</formula>
    </cfRule>
  </conditionalFormatting>
  <conditionalFormatting sqref="D49:E49">
    <cfRule type="expression" priority="57" dxfId="0">
      <formula>$D$49&lt;&gt;""</formula>
    </cfRule>
  </conditionalFormatting>
  <conditionalFormatting sqref="D45:E45">
    <cfRule type="expression" priority="56" dxfId="0">
      <formula>$D$45&lt;&gt;""</formula>
    </cfRule>
  </conditionalFormatting>
  <conditionalFormatting sqref="D46:E46">
    <cfRule type="expression" priority="52" dxfId="0">
      <formula>$D$46&lt;&gt;""</formula>
    </cfRule>
  </conditionalFormatting>
  <conditionalFormatting sqref="D47:E47">
    <cfRule type="expression" priority="51" dxfId="0">
      <formula>$D$47&lt;&gt;""</formula>
    </cfRule>
  </conditionalFormatting>
  <conditionalFormatting sqref="D48:E48">
    <cfRule type="expression" priority="50" dxfId="0">
      <formula>$D$48&lt;&gt;""</formula>
    </cfRule>
  </conditionalFormatting>
  <conditionalFormatting sqref="D55:F55">
    <cfRule type="expression" priority="49" dxfId="0">
      <formula>$D$55&lt;&gt;""</formula>
    </cfRule>
  </conditionalFormatting>
  <conditionalFormatting sqref="D56:F56">
    <cfRule type="expression" priority="48" dxfId="0">
      <formula>$D$56&lt;&gt;""</formula>
    </cfRule>
  </conditionalFormatting>
  <conditionalFormatting sqref="D62:F62">
    <cfRule type="expression" priority="46" dxfId="0">
      <formula>$D$62&lt;&gt;""</formula>
    </cfRule>
  </conditionalFormatting>
  <conditionalFormatting sqref="D58:F58">
    <cfRule type="expression" priority="45" dxfId="0">
      <formula>$D$58&lt;&gt;""</formula>
    </cfRule>
  </conditionalFormatting>
  <conditionalFormatting sqref="D59:F59">
    <cfRule type="expression" priority="44" dxfId="0">
      <formula>$D$59&lt;&gt;""</formula>
    </cfRule>
  </conditionalFormatting>
  <conditionalFormatting sqref="D60:F60">
    <cfRule type="expression" priority="43" dxfId="0">
      <formula>$D$60&lt;&gt;""</formula>
    </cfRule>
  </conditionalFormatting>
  <conditionalFormatting sqref="D61:F61">
    <cfRule type="expression" priority="42" dxfId="0">
      <formula>$D$61&lt;&gt;""</formula>
    </cfRule>
  </conditionalFormatting>
  <conditionalFormatting sqref="D68:F68">
    <cfRule type="expression" priority="40" dxfId="0">
      <formula>$D$68&lt;&gt;""</formula>
    </cfRule>
  </conditionalFormatting>
  <conditionalFormatting sqref="D69:F69">
    <cfRule type="expression" priority="39" dxfId="0">
      <formula>$D$69&lt;&gt;""</formula>
    </cfRule>
  </conditionalFormatting>
  <conditionalFormatting sqref="D75:F75">
    <cfRule type="expression" priority="37" dxfId="0">
      <formula>$D$75&lt;&gt;""</formula>
    </cfRule>
  </conditionalFormatting>
  <conditionalFormatting sqref="D71:F71">
    <cfRule type="expression" priority="36" dxfId="0">
      <formula>$D$71&lt;&gt;""</formula>
    </cfRule>
  </conditionalFormatting>
  <conditionalFormatting sqref="D72:F72">
    <cfRule type="expression" priority="35" dxfId="0">
      <formula>$D$72&lt;&gt;""</formula>
    </cfRule>
  </conditionalFormatting>
  <conditionalFormatting sqref="D73:F73">
    <cfRule type="expression" priority="34" dxfId="0">
      <formula>$D$73&lt;&gt;""</formula>
    </cfRule>
  </conditionalFormatting>
  <conditionalFormatting sqref="D74:F74">
    <cfRule type="expression" priority="33" dxfId="0">
      <formula>$D$74&lt;&gt;""</formula>
    </cfRule>
  </conditionalFormatting>
  <conditionalFormatting sqref="D81:F81">
    <cfRule type="expression" priority="32" dxfId="0">
      <formula>$D$81&lt;&gt;""</formula>
    </cfRule>
  </conditionalFormatting>
  <conditionalFormatting sqref="D82:F82">
    <cfRule type="expression" priority="31" dxfId="0">
      <formula>$D$82&lt;&gt;""</formula>
    </cfRule>
  </conditionalFormatting>
  <conditionalFormatting sqref="D88:F88">
    <cfRule type="expression" priority="29" dxfId="0">
      <formula>$D$88&lt;&gt;""</formula>
    </cfRule>
  </conditionalFormatting>
  <conditionalFormatting sqref="D84:F84">
    <cfRule type="expression" priority="28" dxfId="0">
      <formula>$D$84&lt;&gt;""</formula>
    </cfRule>
  </conditionalFormatting>
  <conditionalFormatting sqref="D85:F85">
    <cfRule type="expression" priority="27" dxfId="0">
      <formula>$D$85&lt;&gt;""</formula>
    </cfRule>
  </conditionalFormatting>
  <conditionalFormatting sqref="D86:F86">
    <cfRule type="expression" priority="26" dxfId="0">
      <formula>$D$86&lt;&gt;""</formula>
    </cfRule>
  </conditionalFormatting>
  <conditionalFormatting sqref="D87:F87">
    <cfRule type="expression" priority="25" dxfId="0">
      <formula>$D$87&lt;&gt;""</formula>
    </cfRule>
  </conditionalFormatting>
  <conditionalFormatting sqref="F42">
    <cfRule type="expression" priority="14" dxfId="12">
      <formula>$F$42&lt;&gt;""</formula>
    </cfRule>
  </conditionalFormatting>
  <conditionalFormatting sqref="E54">
    <cfRule type="expression" priority="13" dxfId="0">
      <formula>$D$41&lt;&gt;""</formula>
    </cfRule>
  </conditionalFormatting>
  <conditionalFormatting sqref="E67">
    <cfRule type="expression" priority="12" dxfId="0">
      <formula>$D$41&lt;&gt;""</formula>
    </cfRule>
  </conditionalFormatting>
  <conditionalFormatting sqref="E80">
    <cfRule type="expression" priority="10" dxfId="0">
      <formula>$D$41&lt;&gt;""</formula>
    </cfRule>
  </conditionalFormatting>
  <conditionalFormatting sqref="D28:G28">
    <cfRule type="expression" priority="9" dxfId="0">
      <formula>$C$28&lt;&gt;""</formula>
    </cfRule>
  </conditionalFormatting>
  <conditionalFormatting sqref="D30:G30">
    <cfRule type="expression" priority="8" dxfId="0">
      <formula>$C$30&lt;&gt;""</formula>
    </cfRule>
  </conditionalFormatting>
  <conditionalFormatting sqref="D32:G32">
    <cfRule type="expression" priority="7" dxfId="0">
      <formula>$C$32&lt;&gt;""</formula>
    </cfRule>
  </conditionalFormatting>
  <conditionalFormatting sqref="D34:G34">
    <cfRule type="expression" priority="6" dxfId="0">
      <formula>$C$34&lt;&gt;""</formula>
    </cfRule>
  </conditionalFormatting>
  <conditionalFormatting sqref="B5">
    <cfRule type="expression" priority="5" dxfId="0">
      <formula>$B$5&lt;&gt;""</formula>
    </cfRule>
  </conditionalFormatting>
  <conditionalFormatting sqref="B6">
    <cfRule type="expression" priority="4" dxfId="0">
      <formula>$B$5&lt;&gt;""</formula>
    </cfRule>
  </conditionalFormatting>
  <conditionalFormatting sqref="D6">
    <cfRule type="expression" priority="3" dxfId="0">
      <formula>$B$5&lt;&gt;""</formula>
    </cfRule>
  </conditionalFormatting>
  <conditionalFormatting sqref="F5">
    <cfRule type="expression" priority="2" dxfId="0">
      <formula>$E$5&lt;&gt;""</formula>
    </cfRule>
  </conditionalFormatting>
  <conditionalFormatting sqref="F6">
    <cfRule type="expression" priority="1" dxfId="0">
      <formula>$B$5&lt;&gt;""</formula>
    </cfRule>
  </conditionalFormatting>
  <dataValidations count="6">
    <dataValidation sqref="B11" showDropDown="0" showInputMessage="1" showErrorMessage="1" allowBlank="1" promptTitle="Hinweis" prompt="Laut §6 BHO sind nur die zur Bedarfsdeckung unabdingbar notwendigen Ausgaben zu berücksichtigen. _x000a__x000a_Bitte bedenken Sie vor diesem Hintergrund den notwendigen Zusammenhang der Ausgaben mit dem Bedarf bzw. der Zielsetzung Ihrer Maßnahme."/>
    <dataValidation sqref="B12" showDropDown="0" showInputMessage="1" showErrorMessage="1" allowBlank="1" type="whole">
      <formula1>1</formula1>
      <formula2>300</formula2>
    </dataValidation>
    <dataValidation sqref="E65:E67 E78:E80 F38 F51 F64:F66 F77:F79" showDropDown="0" showInputMessage="1" showErrorMessage="1" allowBlank="1" promptTitle="Hinweis" prompt="Bitte entsprechende Auswahl via Dropdown in Spalte C treffen."/>
    <dataValidation sqref="B6" showDropDown="0" showInputMessage="1" showErrorMessage="1" allowBlank="1" promptTitle="Hinweis" prompt="Das eingetragene Datum muss zeitlich vor dem &quot;Beginn der Maßnahme&quot; liegen. " type="date" operator="lessThan">
      <formula1>D6</formula1>
    </dataValidation>
    <dataValidation sqref="D6" showDropDown="0" showInputMessage="1" showErrorMessage="1" allowBlank="1" promptTitle="Hinweis" prompt="Das eingetragene Datum muss zeitlich nach dem &quot;Datum der Erstellung&quot; liegen. " type="date" operator="greaterThanOrEqual">
      <formula1>B6</formula1>
    </dataValidation>
    <dataValidation sqref="F6" showDropDown="0" showInputMessage="1" showErrorMessage="1" allowBlank="1" promptTitle="Hinweis" prompt="Das eingetragene Datum muss zeitlich auf oder nach den &quot;Beginn der Maßnahme&quot; fallen. " type="date" operator="greaterThanOrEqual">
      <formula1>D6</formula1>
    </dataValidation>
  </dataValidations>
  <pageMargins left="0.7" right="0.7" top="0.787401575" bottom="0.787401575" header="0.3" footer="0.3"/>
  <pageSetup orientation="portrait" paperSize="9" scale="79"/>
  <headerFooter>
    <oddHeader>&amp;C_x000a_</oddHeader>
    <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Tabelle3">
    <outlinePr summaryBelow="1" summaryRight="1"/>
    <pageSetUpPr/>
  </sheetPr>
  <dimension ref="A1:A1"/>
  <sheetViews>
    <sheetView workbookViewId="0">
      <selection activeCell="A1" sqref="A1"/>
    </sheetView>
  </sheetViews>
  <sheetFormatPr baseColWidth="10" defaultRowHeight="15"/>
  <sheetData/>
  <pageMargins left="0.7" right="0.7" top="0.787401575" bottom="0.787401575" header="0.3" footer="0.3"/>
</worksheet>
</file>

<file path=xl/worksheets/sheet3.xml><?xml version="1.0" encoding="utf-8"?>
<worksheet xmlns="http://schemas.openxmlformats.org/spreadsheetml/2006/main">
  <sheetPr codeName="Tabelle2">
    <outlinePr summaryBelow="1" summaryRight="1"/>
    <pageSetUpPr/>
  </sheetPr>
  <dimension ref="A2:G144"/>
  <sheetViews>
    <sheetView topLeftCell="A116" workbookViewId="0">
      <selection activeCell="A118" sqref="A118:B139"/>
    </sheetView>
  </sheetViews>
  <sheetFormatPr baseColWidth="10" defaultRowHeight="15"/>
  <cols>
    <col width="84.42578125" bestFit="1" customWidth="1" style="12" min="1" max="1"/>
    <col width="75.28515625" bestFit="1" customWidth="1" style="12" min="5" max="8"/>
    <col width="7.5703125" customWidth="1" style="12" min="9" max="9"/>
  </cols>
  <sheetData>
    <row r="1" hidden="1" s="12"/>
    <row r="2" hidden="1" s="12">
      <c r="A2" s="1" t="n"/>
      <c r="B2" s="2" t="n"/>
    </row>
    <row r="3" hidden="1" s="12">
      <c r="B3" s="2" t="n"/>
    </row>
    <row r="4" hidden="1" s="12">
      <c r="B4" s="2" t="n"/>
    </row>
    <row r="5" hidden="1" s="12">
      <c r="B5" s="2" t="n"/>
    </row>
    <row r="6" hidden="1" s="12">
      <c r="B6" s="2" t="n"/>
    </row>
    <row r="7">
      <c r="B7" s="2" t="n"/>
      <c r="E7" s="9" t="n"/>
      <c r="F7" s="9" t="n"/>
      <c r="G7" s="9" t="n"/>
    </row>
    <row r="8">
      <c r="A8" s="1" t="inlineStr">
        <is>
          <t>Rechtliche Vorgaben:</t>
        </is>
      </c>
      <c r="B8" s="7" t="n"/>
      <c r="C8" s="7" t="n"/>
      <c r="E8" s="9" t="n"/>
    </row>
    <row r="9">
      <c r="A9" t="inlineStr">
        <is>
          <t>Organisatorische Rahmenbedingungen:</t>
        </is>
      </c>
      <c r="B9" s="7" t="n"/>
      <c r="C9" s="7" t="n"/>
      <c r="E9" s="9" t="n"/>
    </row>
    <row r="10">
      <c r="A10" t="inlineStr">
        <is>
          <t>Zeitliche Rahmenbedingungen:</t>
        </is>
      </c>
      <c r="B10" s="8" t="n"/>
      <c r="C10" s="7" t="n"/>
      <c r="E10" s="9" t="n"/>
    </row>
    <row r="11">
      <c r="A11" t="inlineStr">
        <is>
          <t>Sonstige Rahmenbedingungen:</t>
        </is>
      </c>
      <c r="B11" s="8" t="n"/>
      <c r="C11" s="7" t="n"/>
      <c r="E11" s="9" t="n"/>
      <c r="F11" s="9" t="n"/>
    </row>
    <row r="12">
      <c r="A12" s="1" t="n"/>
      <c r="B12" s="8" t="n"/>
      <c r="C12" s="8" t="n"/>
      <c r="E12" s="9" t="n"/>
      <c r="F12" s="9" t="n"/>
      <c r="G12" s="9" t="n"/>
    </row>
    <row r="13">
      <c r="B13" s="269" t="n"/>
      <c r="E13" s="9" t="n"/>
      <c r="F13" s="9" t="n"/>
      <c r="G13" s="9" t="n"/>
    </row>
    <row r="14" hidden="1" s="12">
      <c r="B14" s="4" t="n"/>
      <c r="E14" s="9" t="n"/>
      <c r="F14" s="9" t="n"/>
      <c r="G14" s="9" t="n"/>
    </row>
    <row r="15">
      <c r="A15" t="inlineStr">
        <is>
          <t>Transport</t>
        </is>
      </c>
      <c r="B15" s="269" t="n"/>
      <c r="E15" s="9" t="n"/>
      <c r="F15" s="9" t="n"/>
      <c r="G15" s="9" t="n"/>
    </row>
    <row r="16">
      <c r="A16" s="6" t="inlineStr">
        <is>
          <t>Eigenes KFZ</t>
        </is>
      </c>
      <c r="B16" s="269" t="n"/>
      <c r="E16" s="9" t="n"/>
      <c r="F16" s="9" t="n"/>
      <c r="G16" s="9" t="n"/>
    </row>
    <row r="17">
      <c r="A17" t="inlineStr">
        <is>
          <t>Gemietetes KFZ</t>
        </is>
      </c>
      <c r="B17" s="269" t="n"/>
      <c r="E17" s="9" t="n"/>
      <c r="F17" s="9" t="n"/>
      <c r="G17" s="9" t="n"/>
    </row>
    <row r="18">
      <c r="A18" t="inlineStr">
        <is>
          <t>Bus</t>
        </is>
      </c>
      <c r="B18" s="4" t="n"/>
      <c r="E18" s="9" t="n"/>
      <c r="F18" s="9" t="n"/>
      <c r="G18" s="9" t="n"/>
    </row>
    <row r="19">
      <c r="A19" t="inlineStr">
        <is>
          <t>Bahn/Zug</t>
        </is>
      </c>
      <c r="B19" s="269" t="n"/>
      <c r="E19" s="9" t="n"/>
      <c r="F19" s="9" t="n"/>
      <c r="G19" s="9" t="n"/>
    </row>
    <row r="20">
      <c r="A20" t="inlineStr">
        <is>
          <t>Flugzeug</t>
        </is>
      </c>
      <c r="B20" s="270" t="n"/>
      <c r="E20" s="9" t="n"/>
      <c r="F20" s="9" t="n"/>
      <c r="G20" s="9" t="n"/>
    </row>
    <row r="21">
      <c r="B21" s="270" t="n"/>
      <c r="E21" s="9" t="n"/>
      <c r="F21" s="9" t="n"/>
      <c r="G21" s="9" t="n"/>
    </row>
    <row r="22">
      <c r="A22" t="inlineStr">
        <is>
          <t>ext. Unterkunft</t>
        </is>
      </c>
      <c r="E22" s="9" t="n"/>
      <c r="F22" s="9" t="n"/>
      <c r="G22" s="9" t="n"/>
    </row>
    <row r="23">
      <c r="A23" s="6" t="inlineStr">
        <is>
          <t>amtlich unentgeltliche Unterkunft</t>
        </is>
      </c>
      <c r="E23" s="9" t="n"/>
      <c r="F23" s="9" t="n"/>
      <c r="G23" s="9" t="n"/>
    </row>
    <row r="24">
      <c r="A24" t="inlineStr">
        <is>
          <t>amtlich entgeltliche Unterkunft</t>
        </is>
      </c>
      <c r="E24" s="9" t="n"/>
      <c r="F24" s="9" t="n"/>
      <c r="G24" s="9" t="n"/>
    </row>
    <row r="25">
      <c r="A25" t="inlineStr">
        <is>
          <t>Hotel-/Privatunterkunft</t>
        </is>
      </c>
      <c r="E25" s="9" t="n"/>
      <c r="F25" s="9" t="n"/>
      <c r="G25" s="9" t="n"/>
    </row>
    <row r="26">
      <c r="E26" s="9" t="n"/>
      <c r="F26" s="9" t="n"/>
      <c r="G26" s="9" t="n"/>
    </row>
    <row r="27">
      <c r="A27" t="inlineStr">
        <is>
          <t>Tagegeld</t>
        </is>
      </c>
      <c r="E27" s="9" t="n"/>
      <c r="F27" s="9" t="n"/>
      <c r="G27" s="9" t="n"/>
    </row>
    <row r="28">
      <c r="A28" t="inlineStr">
        <is>
          <t>Inland Ganztag</t>
        </is>
      </c>
    </row>
    <row r="29">
      <c r="A29" t="inlineStr">
        <is>
          <t>Inland Halbtag</t>
        </is>
      </c>
    </row>
    <row r="30">
      <c r="A30" t="inlineStr">
        <is>
          <t>Inland o. Frühstück</t>
        </is>
      </c>
    </row>
    <row r="31">
      <c r="A31" t="inlineStr">
        <is>
          <t>Inland o. Abendessen</t>
        </is>
      </c>
    </row>
    <row r="32">
      <c r="A32" t="inlineStr">
        <is>
          <t>Tagegeld Sonstige</t>
        </is>
      </c>
    </row>
    <row r="34">
      <c r="A34" t="inlineStr">
        <is>
          <t>Leistungserbringung durch die eigene Dienststelle</t>
        </is>
      </c>
      <c r="B34" t="inlineStr">
        <is>
          <t>Option 1</t>
        </is>
      </c>
    </row>
    <row r="35">
      <c r="A35" t="inlineStr">
        <is>
          <t>Leistungserbringung durch andere bundeswehrinterne Dienststellen</t>
        </is>
      </c>
      <c r="B35" t="inlineStr">
        <is>
          <t>Option 2</t>
        </is>
      </c>
    </row>
    <row r="36">
      <c r="A36" t="inlineStr">
        <is>
          <t>Leistungserbringung durch eine Inhousegesellschaft/eine Dienstelle eines anderen Ressorts</t>
        </is>
      </c>
      <c r="B36" t="inlineStr">
        <is>
          <t>Option 3</t>
        </is>
      </c>
    </row>
    <row r="37">
      <c r="A37" t="inlineStr">
        <is>
          <t>Leistungserbringung durch einen externen Dienstleister</t>
        </is>
      </c>
      <c r="B37" t="inlineStr">
        <is>
          <t>Option 4</t>
        </is>
      </c>
    </row>
    <row r="40">
      <c r="A40" s="10" t="inlineStr">
        <is>
          <t>Zellsprungfunktion</t>
        </is>
      </c>
    </row>
    <row r="41">
      <c r="A41" s="11" t="inlineStr">
        <is>
          <t>Ein</t>
        </is>
      </c>
    </row>
    <row r="44">
      <c r="A44" s="159" t="n"/>
    </row>
    <row r="45">
      <c r="A45" s="116" t="inlineStr">
        <is>
          <t>Bei Bedarf bitte auswählen</t>
        </is>
      </c>
      <c r="B45" t="n">
        <v>0</v>
      </c>
    </row>
    <row r="46">
      <c r="A46" s="161" t="inlineStr">
        <is>
          <t>BeamteA5E</t>
        </is>
      </c>
      <c r="B46" s="271" t="n">
        <v>49333.26588</v>
      </c>
    </row>
    <row r="47">
      <c r="A47" s="161" t="inlineStr">
        <is>
          <t>BeamtA6E</t>
        </is>
      </c>
      <c r="B47" s="271" t="n">
        <v>55086.56442448672</v>
      </c>
    </row>
    <row r="48">
      <c r="A48" s="161" t="inlineStr">
        <is>
          <t>BeamteA6M</t>
        </is>
      </c>
      <c r="B48" s="271" t="n">
        <v>48161.39755182452</v>
      </c>
    </row>
    <row r="49">
      <c r="A49" s="161" t="inlineStr">
        <is>
          <t>BeamteA6M/A7</t>
        </is>
      </c>
      <c r="B49" s="271" t="n">
        <v>51150.18785849352</v>
      </c>
    </row>
    <row r="50">
      <c r="A50" s="161" t="inlineStr">
        <is>
          <t>BeamteA7</t>
        </is>
      </c>
      <c r="B50" s="271" t="n">
        <v>52426.36785626155</v>
      </c>
    </row>
    <row r="51">
      <c r="A51" s="161" t="inlineStr">
        <is>
          <t>BeamteA6M-A8</t>
        </is>
      </c>
      <c r="B51" s="271" t="n">
        <v>59284.22775742935</v>
      </c>
    </row>
    <row r="52">
      <c r="A52" s="161" t="inlineStr">
        <is>
          <t>BeamteA7/A8</t>
        </is>
      </c>
      <c r="B52" s="271" t="n">
        <v>60252.39472845272</v>
      </c>
    </row>
    <row r="53">
      <c r="A53" s="161" t="inlineStr">
        <is>
          <t>BeamteA8</t>
        </is>
      </c>
      <c r="B53" s="271" t="n">
        <v>62256.25247516473</v>
      </c>
    </row>
    <row r="54">
      <c r="A54" s="161" t="inlineStr">
        <is>
          <t>BeamteA9M</t>
        </is>
      </c>
      <c r="B54" s="271" t="n">
        <v>68674.84224358862</v>
      </c>
    </row>
    <row r="55">
      <c r="A55" s="161" t="inlineStr">
        <is>
          <t>BeamteA9MZ</t>
        </is>
      </c>
      <c r="B55" s="271" t="n">
        <v>74418.29279395421</v>
      </c>
    </row>
    <row r="56">
      <c r="A56" s="161" t="inlineStr">
        <is>
          <t>BeamteA9G</t>
        </is>
      </c>
      <c r="B56" s="271" t="n">
        <v>57813.0172645079</v>
      </c>
    </row>
    <row r="57">
      <c r="A57" s="161" t="inlineStr">
        <is>
          <t>BeamteA9G/A10</t>
        </is>
      </c>
      <c r="B57" s="271" t="n">
        <v>61674.9544931125</v>
      </c>
    </row>
    <row r="58">
      <c r="A58" s="161" t="inlineStr">
        <is>
          <t>BeamteA9G-A11</t>
        </is>
      </c>
      <c r="B58" s="271" t="n">
        <v>71631.69195025736</v>
      </c>
    </row>
    <row r="59">
      <c r="A59" s="161" t="inlineStr">
        <is>
          <t>BeamteA10</t>
        </is>
      </c>
      <c r="B59" s="271" t="n">
        <v>63954.9730334784</v>
      </c>
    </row>
    <row r="60">
      <c r="A60" s="161" t="inlineStr">
        <is>
          <t>BeamteA11</t>
        </is>
      </c>
      <c r="B60" s="271" t="n">
        <v>79501.76220171893</v>
      </c>
    </row>
    <row r="61">
      <c r="A61" s="161" t="inlineStr">
        <is>
          <t>BeamteA12</t>
        </is>
      </c>
      <c r="B61" s="271" t="n">
        <v>90540.62551901797</v>
      </c>
    </row>
    <row r="62">
      <c r="A62" s="161" t="inlineStr">
        <is>
          <t>BeamteA13G</t>
        </is>
      </c>
      <c r="B62" s="271" t="n">
        <v>101701.6485637517</v>
      </c>
    </row>
    <row r="63">
      <c r="A63" s="161" t="inlineStr">
        <is>
          <t>BeamteA13GZ</t>
        </is>
      </c>
      <c r="B63" s="271" t="n">
        <v>108002.8539660179</v>
      </c>
    </row>
    <row r="64">
      <c r="A64" s="161" t="inlineStr">
        <is>
          <t>BeamteA13H</t>
        </is>
      </c>
      <c r="B64" s="271" t="n">
        <v>93641.72547584544</v>
      </c>
    </row>
    <row r="65">
      <c r="A65" s="161" t="inlineStr">
        <is>
          <t>BeamteA13H/A14</t>
        </is>
      </c>
      <c r="B65" s="271" t="n">
        <v>105720.6680313999</v>
      </c>
    </row>
    <row r="66">
      <c r="A66" s="161" t="inlineStr">
        <is>
          <t>BeamteA14</t>
        </is>
      </c>
      <c r="B66" s="271" t="n">
        <v>108810.1203683062</v>
      </c>
    </row>
    <row r="67">
      <c r="A67" s="161" t="inlineStr">
        <is>
          <t>BeamteA15</t>
        </is>
      </c>
      <c r="B67" s="271" t="n">
        <v>128358.478566065</v>
      </c>
    </row>
    <row r="68">
      <c r="A68" s="161" t="inlineStr">
        <is>
          <t>BeamteA15Z</t>
        </is>
      </c>
      <c r="B68" s="271" t="n">
        <v>136057.4688709091</v>
      </c>
    </row>
    <row r="69">
      <c r="A69" s="161" t="inlineStr">
        <is>
          <t>BeamteA16</t>
        </is>
      </c>
      <c r="B69" s="271" t="n">
        <v>145001.4747899035</v>
      </c>
    </row>
    <row r="70">
      <c r="A70" s="161" t="inlineStr">
        <is>
          <t>BeamteB2</t>
        </is>
      </c>
      <c r="B70" s="271" t="n">
        <v>152766.487699865</v>
      </c>
    </row>
    <row r="71">
      <c r="A71" s="161" t="inlineStr">
        <is>
          <t>BeamteB3</t>
        </is>
      </c>
      <c r="B71" s="271" t="n">
        <v>161195.5151340176</v>
      </c>
    </row>
    <row r="72">
      <c r="A72" s="161" t="inlineStr">
        <is>
          <t>BeamteB4</t>
        </is>
      </c>
      <c r="B72" s="271" t="n">
        <v>169775.6464771428</v>
      </c>
    </row>
    <row r="73">
      <c r="A73" s="161" t="inlineStr">
        <is>
          <t>BeamteB5</t>
        </is>
      </c>
      <c r="B73" s="271" t="n">
        <v>173207.54682</v>
      </c>
    </row>
    <row r="74">
      <c r="A74" s="161" t="inlineStr">
        <is>
          <t>BeamteB6</t>
        </is>
      </c>
      <c r="B74" s="271" t="n">
        <v>189121.9255443409</v>
      </c>
    </row>
    <row r="75">
      <c r="A75" s="161" t="inlineStr">
        <is>
          <t>BeamteB7</t>
        </is>
      </c>
      <c r="B75" s="271" t="n">
        <v>197654.9162457141</v>
      </c>
    </row>
    <row r="76">
      <c r="A76" s="161" t="inlineStr">
        <is>
          <t>BeamteB9</t>
        </is>
      </c>
      <c r="B76" s="271" t="n">
        <v>221179.709073488</v>
      </c>
    </row>
    <row r="77">
      <c r="A77" s="161" t="inlineStr">
        <is>
          <t>BeamteB11</t>
        </is>
      </c>
      <c r="B77" s="271" t="n">
        <v>265252.17144</v>
      </c>
    </row>
    <row r="78">
      <c r="A78" s="114" t="n"/>
      <c r="B78" s="115" t="n"/>
    </row>
    <row r="79">
      <c r="A79" s="116" t="inlineStr">
        <is>
          <t>Bei Bedarf bitte auswählen</t>
        </is>
      </c>
      <c r="B79" s="115" t="n"/>
    </row>
    <row r="80">
      <c r="A80" s="161" t="inlineStr">
        <is>
          <t>SoldatenA3</t>
        </is>
      </c>
      <c r="B80" s="271" t="n">
        <v>48517.76182464902</v>
      </c>
    </row>
    <row r="81">
      <c r="A81" s="161" t="inlineStr">
        <is>
          <t>SoldatenA3Z</t>
        </is>
      </c>
      <c r="B81" s="271" t="n">
        <v>48758.65451065223</v>
      </c>
    </row>
    <row r="82">
      <c r="A82" s="161" t="inlineStr">
        <is>
          <t>SoldatenA3-A5E</t>
        </is>
      </c>
      <c r="B82" s="271" t="n">
        <v>49967.61087342459</v>
      </c>
    </row>
    <row r="83">
      <c r="A83" s="161" t="inlineStr">
        <is>
          <t>SoldatenA4</t>
        </is>
      </c>
      <c r="B83" s="271" t="n">
        <v>49490.8865524732</v>
      </c>
    </row>
    <row r="84">
      <c r="A84" s="161" t="inlineStr">
        <is>
          <t>SoldatenA4Z</t>
        </is>
      </c>
      <c r="B84" s="271" t="n">
        <v>50196.93050734439</v>
      </c>
    </row>
    <row r="85">
      <c r="A85" s="161" t="inlineStr">
        <is>
          <t>SoldatenA5E</t>
        </is>
      </c>
      <c r="B85" s="271" t="n">
        <v>51281.25716857579</v>
      </c>
    </row>
    <row r="86">
      <c r="A86" s="161" t="inlineStr">
        <is>
          <t>SoldatenA5EZ</t>
        </is>
      </c>
      <c r="B86" s="271" t="n">
        <v>55746.89606883181</v>
      </c>
    </row>
    <row r="87">
      <c r="A87" s="161" t="inlineStr">
        <is>
          <t>SoldatenA5M</t>
        </is>
      </c>
      <c r="B87" s="271" t="n">
        <v>52490.14077642508</v>
      </c>
    </row>
    <row r="88">
      <c r="A88" s="161" t="inlineStr">
        <is>
          <t>SoldatenA6E</t>
        </is>
      </c>
      <c r="B88" s="271" t="n">
        <v>60266.08252433687</v>
      </c>
    </row>
    <row r="89">
      <c r="A89" s="161" t="inlineStr">
        <is>
          <t>SoldatenA6EZ</t>
        </is>
      </c>
      <c r="B89" s="271" t="n">
        <v>61246.51611913385</v>
      </c>
    </row>
    <row r="90">
      <c r="A90" s="161" t="inlineStr">
        <is>
          <t>SoldatenA6M</t>
        </is>
      </c>
      <c r="B90" s="271" t="n">
        <v>55164.32088692873</v>
      </c>
    </row>
    <row r="91">
      <c r="A91" s="161" t="inlineStr">
        <is>
          <t>SoldatenA5M-A7</t>
        </is>
      </c>
      <c r="B91" s="271" t="n">
        <v>58104.67617261423</v>
      </c>
    </row>
    <row r="92">
      <c r="A92" s="161" t="inlineStr">
        <is>
          <t>SoldatenA7</t>
        </is>
      </c>
      <c r="B92" s="271" t="n">
        <v>60675.61571790511</v>
      </c>
    </row>
    <row r="93">
      <c r="A93" s="161" t="inlineStr">
        <is>
          <t>SoldatenA7Z</t>
        </is>
      </c>
      <c r="B93" s="271" t="n">
        <v>60894.41214506447</v>
      </c>
    </row>
    <row r="94">
      <c r="A94" s="161" t="inlineStr">
        <is>
          <t>SoldatenA8Z</t>
        </is>
      </c>
      <c r="B94" s="271" t="n">
        <v>69504.22033367924</v>
      </c>
    </row>
    <row r="95">
      <c r="A95" s="161" t="inlineStr">
        <is>
          <t>SoldatenA7-A9MZ</t>
        </is>
      </c>
      <c r="B95" s="271" t="n">
        <v>68826.59747526683</v>
      </c>
    </row>
    <row r="96">
      <c r="A96" s="161" t="inlineStr">
        <is>
          <t>SoldatenA9M</t>
        </is>
      </c>
      <c r="B96" s="271" t="n">
        <v>79327.44860171042</v>
      </c>
    </row>
    <row r="97">
      <c r="A97" s="161" t="inlineStr">
        <is>
          <t>SoldatenA9MZ</t>
        </is>
      </c>
      <c r="B97" s="271" t="n">
        <v>86311.32655190973</v>
      </c>
    </row>
    <row r="98">
      <c r="A98" s="161" t="inlineStr">
        <is>
          <t>SoldatenA9G</t>
        </is>
      </c>
      <c r="B98" s="271" t="n">
        <v>64477.02736091278</v>
      </c>
    </row>
    <row r="99">
      <c r="A99" s="161" t="inlineStr">
        <is>
          <t>SoldatenA9G-A11</t>
        </is>
      </c>
      <c r="B99" s="271" t="n">
        <v>77566.96820249213</v>
      </c>
    </row>
    <row r="100">
      <c r="A100" s="161" t="inlineStr">
        <is>
          <t>SoldatenA10</t>
        </is>
      </c>
      <c r="B100" s="271" t="n">
        <v>73073.67434551414</v>
      </c>
    </row>
    <row r="101">
      <c r="A101" s="161" t="inlineStr">
        <is>
          <t>SoldatenA11</t>
        </is>
      </c>
      <c r="B101" s="271" t="n">
        <v>89688.67206952785</v>
      </c>
    </row>
    <row r="102">
      <c r="A102" s="161" t="inlineStr">
        <is>
          <t>SoldatenA12</t>
        </is>
      </c>
      <c r="B102" s="271" t="n">
        <v>97853.98312133919</v>
      </c>
    </row>
    <row r="103">
      <c r="A103" s="161" t="inlineStr">
        <is>
          <t>SoldatenA13G</t>
        </is>
      </c>
      <c r="B103" s="271" t="n">
        <v>115790.5868463795</v>
      </c>
    </row>
    <row r="104">
      <c r="A104" s="161" t="inlineStr">
        <is>
          <t>SoldatenA13GZ</t>
        </is>
      </c>
      <c r="B104" s="271" t="n">
        <v>120213.5071954511</v>
      </c>
    </row>
    <row r="105">
      <c r="A105" s="161" t="inlineStr">
        <is>
          <t>SoldatenA13H</t>
        </is>
      </c>
      <c r="B105" s="271" t="n">
        <v>104309.8096141952</v>
      </c>
    </row>
    <row r="106">
      <c r="A106" s="161" t="inlineStr">
        <is>
          <t>SoldatenA13H/A14</t>
        </is>
      </c>
      <c r="B106" s="271" t="n">
        <v>113255.0286191434</v>
      </c>
    </row>
    <row r="107">
      <c r="A107" s="161" t="inlineStr">
        <is>
          <t>SoldatenA14</t>
        </is>
      </c>
      <c r="B107" s="271" t="n">
        <v>117076.6205252864</v>
      </c>
    </row>
    <row r="108">
      <c r="A108" s="161" t="inlineStr">
        <is>
          <t>SoldatenA15</t>
        </is>
      </c>
      <c r="B108" s="271" t="n">
        <v>134704.0705919336</v>
      </c>
    </row>
    <row r="109">
      <c r="A109" s="161" t="inlineStr">
        <is>
          <t>SoldatenA16</t>
        </is>
      </c>
      <c r="B109" s="271" t="n">
        <v>152465.9345059684</v>
      </c>
    </row>
    <row r="110">
      <c r="A110" s="161" t="inlineStr">
        <is>
          <t>SoldatenB3</t>
        </is>
      </c>
      <c r="B110" s="271" t="n">
        <v>168603.0842532832</v>
      </c>
    </row>
    <row r="111">
      <c r="A111" s="161" t="inlineStr">
        <is>
          <t>SoldatenB6</t>
        </is>
      </c>
      <c r="B111" s="271" t="n">
        <v>197688.7351284898</v>
      </c>
    </row>
    <row r="112">
      <c r="A112" s="161" t="inlineStr">
        <is>
          <t>SoldatenB7</t>
        </is>
      </c>
      <c r="B112" s="271" t="n">
        <v>207851.2109582816</v>
      </c>
    </row>
    <row r="113">
      <c r="A113" s="161" t="inlineStr">
        <is>
          <t>SoldatenB9</t>
        </is>
      </c>
      <c r="B113" s="271" t="n">
        <v>228896.3778297142</v>
      </c>
    </row>
    <row r="114">
      <c r="A114" s="161" t="inlineStr">
        <is>
          <t>SoldatenB10</t>
        </is>
      </c>
      <c r="B114" s="271" t="n">
        <v>271894.6502921746</v>
      </c>
    </row>
    <row r="115">
      <c r="A115" s="161" t="inlineStr">
        <is>
          <t>SoldatenB10Z</t>
        </is>
      </c>
      <c r="B115" s="271" t="n">
        <v>276064.7528600001</v>
      </c>
    </row>
    <row r="116">
      <c r="A116" s="114" t="n"/>
      <c r="B116" s="115" t="n"/>
    </row>
    <row r="117">
      <c r="A117" s="116" t="inlineStr">
        <is>
          <t>Bei Bedarf bitte auswählen</t>
        </is>
      </c>
      <c r="B117" s="115" t="n"/>
    </row>
    <row r="118">
      <c r="A118" s="161" t="inlineStr">
        <is>
          <t>ArbeitnehmerE2UE</t>
        </is>
      </c>
      <c r="B118" s="271" t="n">
        <v>53267.79672632799</v>
      </c>
    </row>
    <row r="119">
      <c r="A119" s="161" t="inlineStr">
        <is>
          <t>ArbeitnehmerE2</t>
        </is>
      </c>
      <c r="B119" s="272" t="n">
        <v>53292.64574881052</v>
      </c>
    </row>
    <row r="120">
      <c r="A120" s="161" t="inlineStr">
        <is>
          <t>ArbeitnehmerE3</t>
        </is>
      </c>
      <c r="B120" s="272" t="n">
        <v>55706.27391407471</v>
      </c>
    </row>
    <row r="121">
      <c r="A121" s="161" t="inlineStr">
        <is>
          <t>ArbeitnehmerE4</t>
        </is>
      </c>
      <c r="B121" s="271" t="n">
        <v>57326.38604660904</v>
      </c>
    </row>
    <row r="122">
      <c r="A122" s="161" t="inlineStr">
        <is>
          <t>ArbeitnehmerE5</t>
        </is>
      </c>
      <c r="B122" s="271" t="n">
        <v>59520.23004720596</v>
      </c>
    </row>
    <row r="123">
      <c r="A123" s="161" t="inlineStr">
        <is>
          <t>ArbeitnehmerE6</t>
        </is>
      </c>
      <c r="B123" s="271" t="n">
        <v>62081.18671882254</v>
      </c>
    </row>
    <row r="124">
      <c r="A124" s="161" t="inlineStr">
        <is>
          <t>ArbeitnehmerE7</t>
        </is>
      </c>
      <c r="B124" s="271" t="n">
        <v>64797.97713327518</v>
      </c>
    </row>
    <row r="125">
      <c r="A125" s="161" t="inlineStr">
        <is>
          <t>ArbeitnehmerE8</t>
        </is>
      </c>
      <c r="B125" s="271" t="n">
        <v>67482.88574944579</v>
      </c>
    </row>
    <row r="126">
      <c r="A126" s="161" t="inlineStr">
        <is>
          <t>ArbeitnehmerE9A</t>
        </is>
      </c>
      <c r="B126" s="271" t="n">
        <v>74215.53102516994</v>
      </c>
    </row>
    <row r="127">
      <c r="A127" s="161" t="inlineStr">
        <is>
          <t>ArbeitnehmerE9B</t>
        </is>
      </c>
      <c r="B127" s="271" t="n">
        <v>80861.16376701531</v>
      </c>
    </row>
    <row r="128">
      <c r="A128" s="161" t="inlineStr">
        <is>
          <t>ArbeitnehmerE9C</t>
        </is>
      </c>
      <c r="B128" s="271" t="n">
        <v>84012.27315668712</v>
      </c>
    </row>
    <row r="129">
      <c r="A129" s="161" t="inlineStr">
        <is>
          <t>ArbeitnehmerE10</t>
        </is>
      </c>
      <c r="B129" s="271" t="n">
        <v>84272.22534026077</v>
      </c>
    </row>
    <row r="130">
      <c r="A130" s="161" t="inlineStr">
        <is>
          <t>ArbeitnehmerE11</t>
        </is>
      </c>
      <c r="B130" s="271" t="n">
        <v>93039.4308883381</v>
      </c>
    </row>
    <row r="131">
      <c r="A131" s="161" t="inlineStr">
        <is>
          <t>ArbeitnehmerE12</t>
        </is>
      </c>
      <c r="B131" s="271" t="n">
        <v>102991.3337650282</v>
      </c>
    </row>
    <row r="132">
      <c r="A132" s="161" t="inlineStr">
        <is>
          <t>ArbeitnehmerE13</t>
        </is>
      </c>
      <c r="B132" s="271" t="n">
        <v>90811.64582833221</v>
      </c>
    </row>
    <row r="133">
      <c r="A133" s="161" t="inlineStr">
        <is>
          <t>ArbeitnehmerE14</t>
        </is>
      </c>
      <c r="B133" s="271" t="n">
        <v>105632.4447616941</v>
      </c>
    </row>
    <row r="134">
      <c r="A134" s="161" t="inlineStr">
        <is>
          <t>ArbeitnehmerE15</t>
        </is>
      </c>
      <c r="B134" s="271" t="n">
        <v>117889.2027600416</v>
      </c>
    </row>
    <row r="135">
      <c r="A135" s="161" t="inlineStr">
        <is>
          <t>ArbeitnehmerE15UE</t>
        </is>
      </c>
      <c r="B135" s="271" t="n">
        <v>136274.6325190137</v>
      </c>
    </row>
    <row r="136">
      <c r="A136" s="161" t="inlineStr">
        <is>
          <t>ArbeitnehmerB1</t>
        </is>
      </c>
      <c r="B136" s="271" t="n">
        <v>127094.78400894</v>
      </c>
    </row>
    <row r="137">
      <c r="A137" s="161" t="inlineStr">
        <is>
          <t>ArbeitnehmerB2</t>
        </is>
      </c>
      <c r="B137" s="271" t="n">
        <v>137878.667429636</v>
      </c>
    </row>
    <row r="138">
      <c r="A138" s="161" t="inlineStr">
        <is>
          <t>ArbeitnehmerB6</t>
        </is>
      </c>
      <c r="B138" s="271" t="n">
        <v>167604.365049302</v>
      </c>
    </row>
    <row r="139">
      <c r="A139" s="161" t="inlineStr">
        <is>
          <t>ArbeitnehmerB6</t>
        </is>
      </c>
      <c r="B139" s="271" t="n">
        <v>158392.9985681549</v>
      </c>
    </row>
    <row r="140">
      <c r="A140" s="114" t="n"/>
      <c r="B140" s="115" t="n"/>
    </row>
    <row r="141" ht="19.5" customHeight="1" s="12">
      <c r="A141" s="116" t="inlineStr">
        <is>
          <t>Normkosten: 
Bei Bedarf bitte auswählen</t>
        </is>
      </c>
    </row>
    <row r="142">
      <c r="A142" s="116" t="inlineStr">
        <is>
          <t>Personalnormkosten Arbeitnehmer</t>
        </is>
      </c>
    </row>
    <row r="143">
      <c r="A143" s="116" t="inlineStr">
        <is>
          <t>Personalnormkosten Beamte</t>
        </is>
      </c>
    </row>
    <row r="144">
      <c r="A144" s="116" t="inlineStr">
        <is>
          <t>Personalnormkosten Soldaten</t>
        </is>
      </c>
    </row>
  </sheetData>
  <dataValidations count="1">
    <dataValidation sqref="A41" showDropDown="0" showInputMessage="1" showErrorMessage="1" allowBlank="1" type="list">
      <formula1>"Ein, Aus"</formula1>
    </dataValidation>
  </dataValidations>
  <pageMargins left="0.7" right="0.7" top="0.787401575" bottom="0.787401575" header="0.3" footer="0.3"/>
  <pageSetup orientation="portrait" paperSize="9"/>
</worksheet>
</file>

<file path=xl/worksheets/sheet4.xml><?xml version="1.0" encoding="utf-8"?>
<worksheet xmlns="http://schemas.openxmlformats.org/spreadsheetml/2006/main">
  <sheetPr>
    <outlinePr summaryBelow="1" summaryRight="1"/>
    <pageSetUpPr/>
  </sheetPr>
  <dimension ref="A1:E10"/>
  <sheetViews>
    <sheetView workbookViewId="0">
      <selection activeCell="A1" sqref="A1"/>
    </sheetView>
  </sheetViews>
  <sheetFormatPr baseColWidth="8" defaultRowHeight="15"/>
  <cols>
    <col width="5" customWidth="1" style="12" min="1" max="1"/>
    <col width="38" customWidth="1" style="12" min="2" max="2"/>
    <col width="16" customWidth="1" style="12" min="3" max="3"/>
    <col width="55" customWidth="1" style="12" min="4" max="4"/>
    <col width="30" customWidth="1" style="12" min="5" max="5"/>
  </cols>
  <sheetData>
    <row r="1" ht="22" customHeight="1" s="12">
      <c r="A1" s="273" t="inlineStr">
        <is>
          <t>Anlage: Marktrecherche (Abrufdatum: 16.04.2026)</t>
        </is>
      </c>
    </row>
    <row r="3" ht="25" customHeight="1" s="12">
      <c r="A3" s="274" t="inlineStr">
        <is>
          <t>Nr.</t>
        </is>
      </c>
      <c r="B3" s="274" t="inlineStr">
        <is>
          <t>Produkt / Beschreibung</t>
        </is>
      </c>
      <c r="C3" s="274" t="inlineStr">
        <is>
          <t>Preis (brutto)</t>
        </is>
      </c>
      <c r="D3" s="274" t="inlineStr">
        <is>
          <t>Quelle (URL)</t>
        </is>
      </c>
      <c r="E3" s="274" t="inlineStr">
        <is>
          <t>Bemerkung</t>
        </is>
      </c>
    </row>
    <row r="4" ht="55" customHeight="1" s="12">
      <c r="A4" s="275" t="inlineStr">
        <is>
          <t>1</t>
        </is>
      </c>
      <c r="B4" s="275" t="inlineStr">
        <is>
          <t>Professionelle Tartanbahn Reinigung (ab 8,00 EUR/m²)</t>
        </is>
      </c>
      <c r="C4" s="275" t="inlineStr">
        <is>
          <t>ab 8,00 EUR/m² (netto)</t>
        </is>
      </c>
      <c r="D4" s="275" t="inlineStr">
        <is>
          <t>https://vbsport.de/tartanbahn-reinigung/</t>
        </is>
      </c>
      <c r="E4" s="275" t="inlineStr">
        <is>
          <t>Marktrecherche Reinigungskosten, 16.04.2026</t>
        </is>
      </c>
    </row>
    <row r="5" ht="55" customHeight="1" s="12">
      <c r="A5" s="275" t="inlineStr">
        <is>
          <t>2</t>
        </is>
      </c>
      <c r="B5" s="275" t="inlineStr">
        <is>
          <t>Kärcher HD 5/15 C, 200 bar, 2.800 W</t>
        </is>
      </c>
      <c r="C5" s="275" t="inlineStr">
        <is>
          <t>ca. 2.849 EUR (netto)</t>
        </is>
      </c>
      <c r="D5" s="275" t="inlineStr">
        <is>
          <t>https://www.sanitino.de/karcher-hochdruckreiniger-2800-w-200-bar-1-520-934-0</t>
        </is>
      </c>
      <c r="E5" s="275" t="inlineStr">
        <is>
          <t>Vergleichspreis Standardgerät ohne Absaugung, 16.04.2026</t>
        </is>
      </c>
    </row>
    <row r="6" ht="55" customHeight="1" s="12">
      <c r="A6" s="275" t="inlineStr">
        <is>
          <t>3</t>
        </is>
      </c>
      <c r="B6" s="275" t="inlineStr">
        <is>
          <t>Tartanbahnreinigung Intensivreinigung (allessauber.at)</t>
        </is>
      </c>
      <c r="C6" s="275" t="inlineStr">
        <is>
          <t>ab 8,00 EUR/m² exkl. MwSt.</t>
        </is>
      </c>
      <c r="D6" s="275" t="inlineStr">
        <is>
          <t>https://www.allessauber.at/sonderreinigung/tartanbahnreinigung/</t>
        </is>
      </c>
      <c r="E6" s="275" t="inlineStr">
        <is>
          <t>Marktrecherche Reinigungskosten, 16.04.2026</t>
        </is>
      </c>
    </row>
    <row r="7" ht="55" customHeight="1" s="12">
      <c r="A7" s="275" t="inlineStr">
        <is>
          <t>4</t>
        </is>
      </c>
      <c r="B7" s="275" t="inlineStr">
        <is>
          <t>Tartanbahn-Reinigung mit Schmutzwasserabsaugung (x3system)</t>
        </is>
      </c>
      <c r="C7" s="275" t="inlineStr">
        <is>
          <t>auf Anfrage</t>
        </is>
      </c>
      <c r="D7" s="275" t="inlineStr">
        <is>
          <t>https://x3system.eu/service/tartanbahn-reinigung/</t>
        </is>
      </c>
      <c r="E7" s="275" t="inlineStr">
        <is>
          <t>Nachweis Spezialverfahren, 16.04.2026</t>
        </is>
      </c>
    </row>
    <row r="8" ht="55" customHeight="1" s="12">
      <c r="A8" s="275" t="inlineStr">
        <is>
          <t>5</t>
        </is>
      </c>
      <c r="B8" s="275" t="inlineStr">
        <is>
          <t>Reinigung von Kunststofflaufbahnen (sportplatzwelt.de)</t>
        </is>
      </c>
      <c r="C8" s="275" t="inlineStr">
        <is>
          <t>-</t>
        </is>
      </c>
      <c r="D8" s="275" t="inlineStr">
        <is>
          <t>https://www.sportplatzwelt.de/fachwissen/19419/reinigung-von-kunststofflaufbahnen-das-wichtigste-in-kuerze</t>
        </is>
      </c>
      <c r="E8" s="275" t="inlineStr">
        <is>
          <t>Fachinformation Reinigungsanforderungen, 16.04.2026</t>
        </is>
      </c>
    </row>
    <row r="10">
      <c r="A10" s="276" t="inlineStr">
        <is>
          <t>Hinweis: Screenshots der oben genannten Webseiten als Anlage beifügen.</t>
        </is>
      </c>
    </row>
  </sheetData>
  <mergeCells count="2">
    <mergeCell ref="A1:E1"/>
    <mergeCell ref="A10:E10"/>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2022-12-14T08:03:05Z</dcterms:created>
  <dcterms:modified xmlns:dcterms="http://purl.org/dc/terms/" xmlns:xsi="http://www.w3.org/2001/XMLSchema-instance" xsi:type="dcterms:W3CDTF">2026-04-16T06:04:59Z</dcterms:modified>
  <cp:lastModifiedBy>KompZWUBw</cp:lastModifiedBy>
  <cp:lastPrinted>2024-12-09T09:10:00Z</cp:lastPrinted>
</cp:coreProperties>
</file>