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activeX/activeX37.xml" ContentType="application/vnd.ms-office.activeX+xml"/>
  <Override PartName="/xl/activeX/activeX38.xml" ContentType="application/vnd.ms-office.activeX+xml"/>
  <Override PartName="/xl/activeX/activeX39.xml" ContentType="application/vnd.ms-office.activeX+xml"/>
  <Override PartName="/xl/activeX/activeX40.xml" ContentType="application/vnd.ms-office.activeX+xml"/>
  <Override PartName="/xl/activeX/activeX41.xml" ContentType="application/vnd.ms-office.activeX+xml"/>
  <Override PartName="/xl/activeX/activeX42.xml" ContentType="application/vnd.ms-office.activeX+xml"/>
  <Override PartName="/xl/activeX/activeX43.xml" ContentType="application/vnd.ms-office.activeX+xml"/>
  <Override PartName="/xl/activeX/activeX44.xml" ContentType="application/vnd.ms-office.activeX+xml"/>
  <Override PartName="/xl/activeX/activeX45.xml" ContentType="application/vnd.ms-office.activeX+xml"/>
  <Override PartName="/xl/activeX/activeX46.xml" ContentType="application/vnd.ms-office.activeX+xml"/>
  <Override PartName="/xl/activeX/activeX47.xml" ContentType="application/vnd.ms-office.activeX+xml"/>
  <Override PartName="/xl/activeX/activeX48.xml" ContentType="application/vnd.ms-office.activeX+xml"/>
  <Override PartName="/xl/activeX/activeX49.xml" ContentType="application/vnd.ms-office.activeX+xml"/>
  <Override PartName="/xl/activeX/activeX50.xml" ContentType="application/vnd.ms-office.activeX+xml"/>
  <Override PartName="/xl/activeX/activeX51.xml" ContentType="application/vnd.ms-office.activeX+xml"/>
  <Override PartName="/xl/activeX/activeX52.xml" ContentType="application/vnd.ms-office.activeX+xml"/>
  <Override PartName="/xl/activeX/activeX53.xml" ContentType="application/vnd.ms-office.activeX+xml"/>
  <Override PartName="/xl/activeX/activeX54.xml" ContentType="application/vnd.ms-office.activeX+xml"/>
  <Override PartName="/xl/activeX/activeX55.xml" ContentType="application/vnd.ms-office.activeX+xml"/>
  <Override PartName="/xl/activeX/activeX56.xml" ContentType="application/vnd.ms-office.activeX+xml"/>
  <Override PartName="/xl/activeX/activeX57.xml" ContentType="application/vnd.ms-office.activeX+xml"/>
  <Override PartName="/xl/activeX/activeX58.xml" ContentType="application/vnd.ms-office.activeX+xml"/>
  <Override PartName="/xl/activeX/activeX59.xml" ContentType="application/vnd.ms-office.activeX+xml"/>
  <Override PartName="/xl/activeX/activeX60.xml" ContentType="application/vnd.ms-office.activeX+xml"/>
  <Override PartName="/xl/activeX/activeX61.xml" ContentType="application/vnd.ms-office.activeX+xml"/>
  <Override PartName="/xl/activeX/activeX62.xml" ContentType="application/vnd.ms-office.activeX+xml"/>
  <Override PartName="/xl/activeX/activeX63.xml" ContentType="application/vnd.ms-office.activeX+xml"/>
  <Override PartName="/xl/activeX/activeX64.xml" ContentType="application/vnd.ms-office.activeX+xml"/>
  <Override PartName="/xl/activeX/activeX65.xml" ContentType="application/vnd.ms-office.activeX+xml"/>
  <Override PartName="/xl/activeX/activeX66.xml" ContentType="application/vnd.ms-office.activeX+xml"/>
  <Override PartName="/xl/activeX/activeX67.xml" ContentType="application/vnd.ms-office.activeX+xml"/>
  <Override PartName="/xl/activeX/activeX68.xml" ContentType="application/vnd.ms-office.activeX+xml"/>
  <Override PartName="/xl/activeX/activeX69.xml" ContentType="application/vnd.ms-office.activeX+xml"/>
  <Override PartName="/xl/activeX/activeX70.xml" ContentType="application/vnd.ms-office.activeX+xml"/>
  <Override PartName="/xl/activeX/activeX71.xml" ContentType="application/vnd.ms-office.activeX+xml"/>
  <Override PartName="/xl/activeX/activeX72.xml" ContentType="application/vnd.ms-office.activeX+xml"/>
  <Override PartName="/xl/activeX/activeX73.xml" ContentType="application/vnd.ms-office.activeX+xml"/>
  <Override PartName="/xl/activeX/activeX74.xml" ContentType="application/vnd.ms-office.activeX+xml"/>
  <Override PartName="/xl/activeX/activeX75.xml" ContentType="application/vnd.ms-office.activeX+xml"/>
  <Override PartName="/xl/activeX/activeX76.xml" ContentType="application/vnd.ms-office.activeX+xml"/>
  <Override PartName="/xl/activeX/activeX77.xml" ContentType="application/vnd.ms-office.activeX+xml"/>
  <Override PartName="/xl/activeX/activeX78.xml" ContentType="application/vnd.ms-office.activeX+xml"/>
  <Override PartName="/xl/activeX/activeX79.xml" ContentType="application/vnd.ms-office.activeX+xml"/>
  <Override PartName="/xl/activeX/activeX80.xml" ContentType="application/vnd.ms-office.activeX+xml"/>
  <Override PartName="/xl/activeX/activeX81.xml" ContentType="application/vnd.ms-office.activeX+xml"/>
  <Override PartName="/xl/activeX/activeX82.xml" ContentType="application/vnd.ms-office.activeX+xml"/>
  <Override PartName="/xl/activeX/activeX83.xml" ContentType="application/vnd.ms-office.activeX+xml"/>
  <Override PartName="/xl/activeX/activeX84.xml" ContentType="application/vnd.ms-office.activeX+xml"/>
  <Override PartName="/xl/activeX/activeX85.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61082653\Desktop\Basisdokumente WU-Berater\"/>
    </mc:Choice>
  </mc:AlternateContent>
  <xr:revisionPtr revIDLastSave="0" documentId="8_{B5E9A93E-78CA-48B7-8998-7F0D2FA1FED9}" xr6:coauthVersionLast="47" xr6:coauthVersionMax="47" xr10:uidLastSave="{00000000-0000-0000-0000-000000000000}"/>
  <workbookProtection workbookAlgorithmName="SHA-512" workbookHashValue="Acl4AJ8KAyjWa1lbOWP38buS2BHDbGQuJKf3cVBBmEnZZ2SFiyZPTvxQ8KCZ2PWH+0i6BPUMkGSr/0yZMd1KVw==" workbookSaltValue="SVLyXNia4YCdK89hKhWqxQ==" workbookSpinCount="100000" lockStructure="1"/>
  <bookViews>
    <workbookView xWindow="-28920" yWindow="30" windowWidth="29040" windowHeight="15720" xr2:uid="{00000000-000D-0000-FFFF-FFFF00000000}"/>
  </bookViews>
  <sheets>
    <sheet name="WU" sheetId="3" r:id="rId1"/>
    <sheet name="Anlagen" sheetId="5" r:id="rId2"/>
    <sheet name="Hilfstabelle" sheetId="4" state="hidden" r:id="rId3"/>
  </sheets>
  <definedNames>
    <definedName name="_xlnm.Print_Area" localSheetId="0">WU!$A$1:$G$136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107" i="3" l="1"/>
  <c r="G106" i="3"/>
  <c r="G117" i="3" l="1"/>
  <c r="F117" i="3"/>
  <c r="E117" i="3"/>
  <c r="D117" i="3"/>
  <c r="G121" i="3"/>
  <c r="F121" i="3"/>
  <c r="E121" i="3"/>
  <c r="D121" i="3"/>
  <c r="C32" i="4" l="1"/>
  <c r="D32" i="4"/>
  <c r="D31" i="4"/>
  <c r="C31" i="4"/>
  <c r="N30" i="3" l="1"/>
  <c r="N32" i="3"/>
  <c r="N34" i="3"/>
  <c r="N28" i="3"/>
  <c r="G94" i="3" l="1"/>
  <c r="G93" i="3"/>
  <c r="G92" i="3"/>
  <c r="G76" i="3"/>
  <c r="G75" i="3"/>
  <c r="G74" i="3"/>
  <c r="G58" i="3"/>
  <c r="G57" i="3"/>
  <c r="G56" i="3"/>
  <c r="G40" i="3"/>
  <c r="G39" i="3"/>
  <c r="G38" i="3"/>
  <c r="E100" i="3" l="1"/>
  <c r="D100" i="3"/>
  <c r="E98" i="3"/>
  <c r="D98" i="3"/>
  <c r="F96" i="3"/>
  <c r="E96" i="3"/>
  <c r="D96" i="3"/>
  <c r="E82" i="3"/>
  <c r="D82" i="3"/>
  <c r="E80" i="3"/>
  <c r="D80" i="3"/>
  <c r="F78" i="3"/>
  <c r="E78" i="3"/>
  <c r="D78" i="3"/>
  <c r="E64" i="3"/>
  <c r="D64" i="3"/>
  <c r="E62" i="3"/>
  <c r="D62" i="3"/>
  <c r="F60" i="3"/>
  <c r="E60" i="3"/>
  <c r="D60" i="3"/>
  <c r="E46" i="3"/>
  <c r="D46" i="3"/>
  <c r="E44" i="3"/>
  <c r="D44" i="3"/>
  <c r="F42" i="3"/>
  <c r="E42" i="3"/>
  <c r="D42" i="3"/>
  <c r="G42" i="3" l="1"/>
  <c r="S1" i="3" a="1"/>
  <c r="S115" i="3" s="1"/>
  <c r="E32" i="4" l="1"/>
  <c r="E31" i="4"/>
  <c r="S12" i="3"/>
  <c r="S60" i="3"/>
  <c r="S116" i="3"/>
  <c r="S29" i="3"/>
  <c r="S61" i="3"/>
  <c r="S93" i="3"/>
  <c r="S46" i="3"/>
  <c r="S28" i="3"/>
  <c r="S52" i="3"/>
  <c r="S84" i="3"/>
  <c r="S108" i="3"/>
  <c r="S21" i="3"/>
  <c r="S53" i="3"/>
  <c r="S85" i="3"/>
  <c r="S117" i="3"/>
  <c r="S22" i="3"/>
  <c r="S54" i="3"/>
  <c r="S78" i="3"/>
  <c r="S102" i="3"/>
  <c r="S15" i="3"/>
  <c r="S47" i="3"/>
  <c r="S40" i="3"/>
  <c r="S4" i="3"/>
  <c r="S36" i="3"/>
  <c r="S68" i="3"/>
  <c r="S92" i="3"/>
  <c r="S5" i="3"/>
  <c r="S37" i="3"/>
  <c r="S69" i="3"/>
  <c r="S101" i="3"/>
  <c r="S14" i="3"/>
  <c r="S38" i="3"/>
  <c r="S70" i="3"/>
  <c r="S94" i="3"/>
  <c r="S118" i="3"/>
  <c r="S23" i="3"/>
  <c r="S39" i="3"/>
  <c r="S63" i="3"/>
  <c r="S79" i="3"/>
  <c r="S95" i="3"/>
  <c r="S111" i="3"/>
  <c r="S16" i="3"/>
  <c r="S56" i="3"/>
  <c r="S104" i="3"/>
  <c r="S9" i="3"/>
  <c r="S17" i="3"/>
  <c r="S25" i="3"/>
  <c r="S33" i="3"/>
  <c r="S41" i="3"/>
  <c r="S49" i="3"/>
  <c r="S57" i="3"/>
  <c r="S65" i="3"/>
  <c r="S73" i="3"/>
  <c r="S81" i="3"/>
  <c r="S89" i="3"/>
  <c r="S97" i="3"/>
  <c r="S105" i="3"/>
  <c r="S113" i="3"/>
  <c r="S121" i="3"/>
  <c r="S24" i="3"/>
  <c r="S48" i="3"/>
  <c r="S72" i="3"/>
  <c r="S88" i="3"/>
  <c r="S112" i="3"/>
  <c r="S1" i="3"/>
  <c r="S2" i="3"/>
  <c r="S10" i="3"/>
  <c r="S18" i="3"/>
  <c r="S26" i="3"/>
  <c r="S34" i="3"/>
  <c r="S42" i="3"/>
  <c r="S50" i="3"/>
  <c r="S58" i="3"/>
  <c r="S66" i="3"/>
  <c r="S74" i="3"/>
  <c r="S82" i="3"/>
  <c r="S90" i="3"/>
  <c r="S98" i="3"/>
  <c r="S106" i="3"/>
  <c r="S114" i="3"/>
  <c r="S122" i="3"/>
  <c r="S20" i="3"/>
  <c r="S44" i="3"/>
  <c r="S76" i="3"/>
  <c r="S100" i="3"/>
  <c r="S13" i="3"/>
  <c r="S45" i="3"/>
  <c r="S77" i="3"/>
  <c r="S109" i="3"/>
  <c r="S6" i="3"/>
  <c r="S30" i="3"/>
  <c r="S62" i="3"/>
  <c r="S86" i="3"/>
  <c r="S110" i="3"/>
  <c r="S7" i="3"/>
  <c r="S31" i="3"/>
  <c r="S55" i="3"/>
  <c r="S71" i="3"/>
  <c r="S87" i="3"/>
  <c r="S103" i="3"/>
  <c r="S119" i="3"/>
  <c r="S8" i="3"/>
  <c r="S32" i="3"/>
  <c r="S64" i="3"/>
  <c r="S80" i="3"/>
  <c r="S96" i="3"/>
  <c r="S120" i="3"/>
  <c r="S3" i="3"/>
  <c r="S11" i="3"/>
  <c r="S19" i="3"/>
  <c r="S27" i="3"/>
  <c r="S35" i="3"/>
  <c r="S43" i="3"/>
  <c r="S51" i="3"/>
  <c r="S59" i="3"/>
  <c r="S67" i="3"/>
  <c r="S75" i="3"/>
  <c r="S83" i="3"/>
  <c r="S91" i="3"/>
  <c r="S99" i="3"/>
  <c r="S107" i="3"/>
  <c r="C43" i="3" l="1"/>
  <c r="C61" i="3"/>
  <c r="C99" i="3"/>
  <c r="C81" i="3"/>
  <c r="C63" i="3"/>
  <c r="C45" i="3"/>
  <c r="O40" i="3" l="1"/>
  <c r="Q40" i="3" s="1"/>
  <c r="O94" i="3"/>
  <c r="Q94" i="3" s="1"/>
  <c r="O93" i="3"/>
  <c r="Q93" i="3" s="1"/>
  <c r="O92" i="3"/>
  <c r="Q92" i="3" s="1"/>
  <c r="O76" i="3"/>
  <c r="Q76" i="3" s="1"/>
  <c r="O75" i="3"/>
  <c r="Q75" i="3" s="1"/>
  <c r="O74" i="3"/>
  <c r="Q74" i="3" s="1"/>
  <c r="O39" i="3"/>
  <c r="Q39" i="3" s="1"/>
  <c r="O38" i="3"/>
  <c r="Q38" i="3" s="1"/>
  <c r="O58" i="3"/>
  <c r="Q58" i="3" s="1"/>
  <c r="O57" i="3"/>
  <c r="Q57" i="3" s="1"/>
  <c r="O56" i="3"/>
  <c r="Q56" i="3" s="1"/>
  <c r="F116" i="3"/>
  <c r="F115" i="3"/>
  <c r="G116" i="3"/>
  <c r="G115" i="3"/>
  <c r="G26" i="4"/>
  <c r="F26" i="4"/>
  <c r="F20" i="4"/>
  <c r="H26" i="4"/>
  <c r="H20" i="4"/>
  <c r="G113" i="3" s="1"/>
  <c r="H34" i="4"/>
  <c r="G112" i="3" s="1"/>
  <c r="G20" i="4"/>
  <c r="F113" i="3" s="1"/>
  <c r="G34" i="4"/>
  <c r="F112" i="3" s="1"/>
  <c r="F34" i="4"/>
  <c r="E20" i="4"/>
  <c r="G120" i="3"/>
  <c r="G119" i="3"/>
  <c r="G89" i="3"/>
  <c r="F120" i="3" s="1"/>
  <c r="G71" i="3"/>
  <c r="E120" i="3" s="1"/>
  <c r="C101" i="3"/>
  <c r="C97" i="3"/>
  <c r="C83" i="3"/>
  <c r="C79" i="3"/>
  <c r="C65" i="3"/>
  <c r="P94" i="3"/>
  <c r="P93" i="3"/>
  <c r="P92" i="3"/>
  <c r="A92" i="3"/>
  <c r="A38" i="3"/>
  <c r="A56" i="3"/>
  <c r="A74" i="3"/>
  <c r="P76" i="3"/>
  <c r="P75" i="3"/>
  <c r="P74" i="3"/>
  <c r="P58" i="3"/>
  <c r="P57" i="3"/>
  <c r="P56" i="3"/>
  <c r="E26" i="4"/>
  <c r="E34" i="4"/>
  <c r="G53" i="3"/>
  <c r="D120" i="3" s="1"/>
  <c r="C150" i="4"/>
  <c r="G88" i="3" s="1"/>
  <c r="F119" i="3" s="1"/>
  <c r="B149" i="4"/>
  <c r="C29" i="4"/>
  <c r="P40" i="3"/>
  <c r="P39" i="3"/>
  <c r="P38" i="3"/>
  <c r="C25" i="4"/>
  <c r="C24" i="4"/>
  <c r="C23" i="4"/>
  <c r="C14" i="4"/>
  <c r="B25" i="4"/>
  <c r="B24" i="4"/>
  <c r="B23" i="4"/>
  <c r="B18" i="4"/>
  <c r="D33" i="4"/>
  <c r="D30" i="4"/>
  <c r="D29" i="4"/>
  <c r="C33" i="4"/>
  <c r="C30" i="4"/>
  <c r="C17" i="4"/>
  <c r="C16" i="4"/>
  <c r="C15" i="4"/>
  <c r="B19" i="4"/>
  <c r="C47" i="3"/>
  <c r="G51" i="3" l="1"/>
  <c r="D118" i="3" s="1"/>
  <c r="G52" i="3"/>
  <c r="D119" i="3" s="1"/>
  <c r="G70" i="3"/>
  <c r="E119" i="3" s="1"/>
  <c r="G105" i="3"/>
  <c r="G118" i="3" s="1"/>
  <c r="G69" i="3"/>
  <c r="E118" i="3" s="1"/>
  <c r="G87" i="3"/>
  <c r="F118" i="3" s="1"/>
  <c r="G98" i="3"/>
  <c r="H18" i="4" s="1"/>
  <c r="G96" i="3"/>
  <c r="G80" i="3"/>
  <c r="G15" i="4" s="1"/>
  <c r="G100" i="3"/>
  <c r="H24" i="4" s="1"/>
  <c r="G78" i="3"/>
  <c r="G82" i="3"/>
  <c r="G23" i="4" s="1"/>
  <c r="F114" i="3" s="1"/>
  <c r="G62" i="3"/>
  <c r="F15" i="4" s="1"/>
  <c r="G64" i="3"/>
  <c r="F24" i="4" s="1"/>
  <c r="G60" i="3"/>
  <c r="F32" i="4" s="1"/>
  <c r="G111" i="3"/>
  <c r="F111" i="3"/>
  <c r="E111" i="3"/>
  <c r="D111" i="3"/>
  <c r="H30" i="4" l="1"/>
  <c r="H32" i="4"/>
  <c r="G33" i="4"/>
  <c r="G32" i="4"/>
  <c r="H29" i="4"/>
  <c r="H33" i="4"/>
  <c r="H31" i="4"/>
  <c r="H16" i="4"/>
  <c r="H17" i="4"/>
  <c r="H15" i="4"/>
  <c r="H14" i="4"/>
  <c r="H19" i="4"/>
  <c r="F14" i="4"/>
  <c r="F19" i="4"/>
  <c r="G18" i="4"/>
  <c r="G19" i="4"/>
  <c r="G14" i="4"/>
  <c r="G16" i="4"/>
  <c r="G17" i="4"/>
  <c r="G29" i="4"/>
  <c r="G31" i="4"/>
  <c r="G25" i="4"/>
  <c r="G30" i="4"/>
  <c r="G24" i="4"/>
  <c r="H25" i="4"/>
  <c r="H23" i="4"/>
  <c r="G114" i="3" s="1"/>
  <c r="G122" i="3" s="1"/>
  <c r="F122" i="3"/>
  <c r="F18" i="4"/>
  <c r="E113" i="3" s="1"/>
  <c r="F17" i="4"/>
  <c r="F16" i="4"/>
  <c r="F25" i="4"/>
  <c r="F23" i="4"/>
  <c r="E114" i="3" s="1"/>
  <c r="F30" i="4"/>
  <c r="F31" i="4"/>
  <c r="F33" i="4"/>
  <c r="F29" i="4"/>
  <c r="E112" i="3" l="1"/>
  <c r="G44" i="3"/>
  <c r="G46" i="3"/>
  <c r="E25" i="4" l="1"/>
  <c r="E24" i="4"/>
  <c r="E23" i="4"/>
  <c r="D114" i="3" s="1"/>
  <c r="E17" i="4"/>
  <c r="E16" i="4"/>
  <c r="E15" i="4"/>
  <c r="D113" i="3" s="1"/>
  <c r="E19" i="4"/>
  <c r="E18" i="4"/>
  <c r="E14" i="4"/>
  <c r="E115" i="3"/>
  <c r="E116" i="3"/>
  <c r="D115" i="3"/>
  <c r="D116" i="3"/>
  <c r="E122" i="3" l="1"/>
  <c r="N20" i="3"/>
  <c r="N15" i="3"/>
  <c r="N16" i="3"/>
  <c r="N17" i="3"/>
  <c r="N18" i="3"/>
  <c r="N35" i="3"/>
  <c r="N14" i="3"/>
  <c r="N12" i="3"/>
  <c r="N11" i="3"/>
  <c r="N9" i="3"/>
  <c r="G110" i="3"/>
  <c r="F110" i="3"/>
  <c r="E110" i="3"/>
  <c r="D110" i="3"/>
  <c r="E29" i="4" l="1"/>
  <c r="D112" i="3" s="1"/>
  <c r="D122" i="3" s="1"/>
  <c r="E33" i="4"/>
  <c r="E30" i="4"/>
  <c r="E128" i="3"/>
  <c r="G128" i="3"/>
  <c r="F128" i="3"/>
  <c r="G130" i="3" l="1"/>
  <c r="G129" i="3"/>
  <c r="G131" i="3" s="1"/>
  <c r="F130" i="3"/>
  <c r="F129" i="3"/>
  <c r="E130" i="3"/>
  <c r="E129" i="3"/>
  <c r="D128" i="3"/>
  <c r="E131" i="3" l="1"/>
  <c r="F131" i="3"/>
  <c r="D130" i="3"/>
  <c r="D129" i="3"/>
  <c r="D131" i="3" l="1"/>
  <c r="H1" i="3" s="1"/>
  <c r="G133" i="3" l="1"/>
  <c r="F133" i="3" s="1"/>
  <c r="C134" i="3" s="1"/>
</calcChain>
</file>

<file path=xl/sharedStrings.xml><?xml version="1.0" encoding="utf-8"?>
<sst xmlns="http://schemas.openxmlformats.org/spreadsheetml/2006/main" count="371" uniqueCount="215">
  <si>
    <t>1. Bedarf</t>
  </si>
  <si>
    <t>2. Ausgangslage</t>
  </si>
  <si>
    <t>3. Optionen der Bedarfsdeckung</t>
  </si>
  <si>
    <t>3.1 Grundsätzlich mögliche Optionen</t>
  </si>
  <si>
    <t>3.2 Aussonderung ungeeigneter Optionen</t>
  </si>
  <si>
    <t>3.3 Darstellung geeigneter Optionen</t>
  </si>
  <si>
    <t>Tagegeld</t>
  </si>
  <si>
    <t>Transport</t>
  </si>
  <si>
    <t>Sonstiges</t>
  </si>
  <si>
    <t>5. Risikoberücksichtigung</t>
  </si>
  <si>
    <t>Zum Öffnen der allgemeinen Hinweise bitte links am Rand auf das "+" Symbol klicken</t>
  </si>
  <si>
    <t>Option</t>
  </si>
  <si>
    <t>Bezeichnung der Option:</t>
  </si>
  <si>
    <t>Ausgaben für sonstige Dienstleistungen</t>
  </si>
  <si>
    <t>Gesamt</t>
  </si>
  <si>
    <t>Eintritts-wahrschein-lichkeit</t>
  </si>
  <si>
    <t>1.1 Bedarfsforderung</t>
  </si>
  <si>
    <t>Rechtliche Vorgaben:</t>
  </si>
  <si>
    <t>Bus</t>
  </si>
  <si>
    <t>Flugzeug</t>
  </si>
  <si>
    <t>Inland Halbtag</t>
  </si>
  <si>
    <t>Inland Ganztag</t>
  </si>
  <si>
    <t>Inland o. Frühstück</t>
  </si>
  <si>
    <t>Datum der
Erstellung:</t>
  </si>
  <si>
    <t>Beginn der 
Maßnahme:</t>
  </si>
  <si>
    <t>Schadenshöhe</t>
  </si>
  <si>
    <t>Die wirtschaftlichste Option, die den Bedarf deckt, die Rahmenbedingungen erfüllt und deren Einleitung zur Vergabe empfohlen wird, ist:
(und beinhaltet Ausgaben inklusive Risikowert)</t>
  </si>
  <si>
    <t>Kein Risiko berücksichtigt</t>
  </si>
  <si>
    <t>Inland o. Abendessen</t>
  </si>
  <si>
    <t>4. Berechnung der Optionen (ohne Risiko)</t>
  </si>
  <si>
    <t>Risiko 1</t>
  </si>
  <si>
    <t>Berücksichtigung
Risiken</t>
  </si>
  <si>
    <t>Gesamtsumme (ohne Risiko)</t>
  </si>
  <si>
    <t>Gesamtsumme mit Risiko</t>
  </si>
  <si>
    <t>6. Berechnung der Optionen (mit Risiko)</t>
  </si>
  <si>
    <t>7. Entscheidungsvorschlag</t>
  </si>
  <si>
    <t>8. Erfolgskontrolle</t>
  </si>
  <si>
    <t>Risiko 2</t>
  </si>
  <si>
    <t>Hinweise zur Dokumentenkopfzeile</t>
  </si>
  <si>
    <t xml:space="preserve">Hinweise zur Bedarfsforderung </t>
  </si>
  <si>
    <t>Hinweise zu den Rahmenbedingungen</t>
  </si>
  <si>
    <t>Hinweise zu den Optionen der Bedarfsdeckung</t>
  </si>
  <si>
    <t>Hinweise zur Aussonderung der Optionen</t>
  </si>
  <si>
    <t>Hinweise zur Darstellung der geeigneten Optionen</t>
  </si>
  <si>
    <t>Hinweise zur Riskobetrachtung</t>
  </si>
  <si>
    <t>Zellsprungfunktion</t>
  </si>
  <si>
    <t>Bezeichnung der Ausgabe</t>
  </si>
  <si>
    <t>Beschreibung 
der Ausgabe</t>
  </si>
  <si>
    <t>1.2 Rahmenbedingungen (RB):</t>
  </si>
  <si>
    <t>Organisatorische Rahmenbedingungen:</t>
  </si>
  <si>
    <t>Zeitliche Rahmenbedingungen:</t>
  </si>
  <si>
    <t>Sonstige Rahmenbedingungen:</t>
  </si>
  <si>
    <t>Ausgaben für 
sonstige Dienstleistungen</t>
  </si>
  <si>
    <t>amtlich unentgeltliche Unterkunft</t>
  </si>
  <si>
    <t>amtlich entgeltliche Unterkunft</t>
  </si>
  <si>
    <t>Hotel-/Privatunterkunft</t>
  </si>
  <si>
    <t>Option 1</t>
  </si>
  <si>
    <t>Option 2</t>
  </si>
  <si>
    <t>Option 3</t>
  </si>
  <si>
    <t>Option 4</t>
  </si>
  <si>
    <r>
      <t xml:space="preserve">Ausgaben für 
</t>
    </r>
    <r>
      <rPr>
        <b/>
        <i/>
        <sz val="9"/>
        <color indexed="8"/>
        <rFont val="BundesSans Office"/>
        <family val="2"/>
      </rPr>
      <t>Bw</t>
    </r>
    <r>
      <rPr>
        <i/>
        <sz val="9"/>
        <color indexed="8"/>
        <rFont val="BundesSans Office"/>
        <family val="2"/>
      </rPr>
      <t>-Material</t>
    </r>
  </si>
  <si>
    <r>
      <t xml:space="preserve">Ausgaben für 
</t>
    </r>
    <r>
      <rPr>
        <b/>
        <i/>
        <sz val="9"/>
        <color indexed="8"/>
        <rFont val="BundesSans Office"/>
        <family val="2"/>
      </rPr>
      <t>Bw</t>
    </r>
    <r>
      <rPr>
        <i/>
        <sz val="9"/>
        <color indexed="8"/>
        <rFont val="BundesSans Office"/>
        <family val="2"/>
      </rPr>
      <t>-Infrastruktur</t>
    </r>
  </si>
  <si>
    <r>
      <t xml:space="preserve">Ausgaben für 
</t>
    </r>
    <r>
      <rPr>
        <b/>
        <sz val="9"/>
        <color indexed="8"/>
        <rFont val="BundesSans Office"/>
        <family val="2"/>
      </rPr>
      <t>Bw</t>
    </r>
    <r>
      <rPr>
        <sz val="9"/>
        <color indexed="8"/>
        <rFont val="BundesSans Office"/>
        <family val="2"/>
      </rPr>
      <t>-Material</t>
    </r>
  </si>
  <si>
    <r>
      <t xml:space="preserve">Ausgaben für 
</t>
    </r>
    <r>
      <rPr>
        <b/>
        <sz val="9"/>
        <color indexed="8"/>
        <rFont val="BundesSans Office"/>
        <family val="2"/>
      </rPr>
      <t>Bw</t>
    </r>
    <r>
      <rPr>
        <sz val="9"/>
        <color indexed="8"/>
        <rFont val="BundesSans Office"/>
        <family val="2"/>
      </rPr>
      <t>-Infrastruktur</t>
    </r>
  </si>
  <si>
    <r>
      <t>Gesamtsumme ohne Risiko</t>
    </r>
    <r>
      <rPr>
        <sz val="9"/>
        <color indexed="8"/>
        <rFont val="BundesSans Office"/>
        <family val="2"/>
      </rPr>
      <t xml:space="preserve"> (Vgl. 4.)</t>
    </r>
  </si>
  <si>
    <t>BeamteA7</t>
  </si>
  <si>
    <t>BeamteA8</t>
  </si>
  <si>
    <t>BeamteA10</t>
  </si>
  <si>
    <t>BeamteA11</t>
  </si>
  <si>
    <t>BeamteA12</t>
  </si>
  <si>
    <t>BeamteA14</t>
  </si>
  <si>
    <t>BeamteA15</t>
  </si>
  <si>
    <t>BeamteA16</t>
  </si>
  <si>
    <t>BeamteB2</t>
  </si>
  <si>
    <t>BeamteB3</t>
  </si>
  <si>
    <t>BeamteB4</t>
  </si>
  <si>
    <t>BeamteB5</t>
  </si>
  <si>
    <t>BeamteB6</t>
  </si>
  <si>
    <t>BeamteB7</t>
  </si>
  <si>
    <t>BeamteB9</t>
  </si>
  <si>
    <t>BeamteB11</t>
  </si>
  <si>
    <t>SoldatenA3</t>
  </si>
  <si>
    <t>SoldatenA4</t>
  </si>
  <si>
    <t>SoldatenA7</t>
  </si>
  <si>
    <t>SoldatenA10</t>
  </si>
  <si>
    <t>SoldatenA11</t>
  </si>
  <si>
    <t>SoldatenA12</t>
  </si>
  <si>
    <t>SoldatenA14</t>
  </si>
  <si>
    <t>SoldatenA15</t>
  </si>
  <si>
    <t>SoldatenA16</t>
  </si>
  <si>
    <t>SoldatenB3</t>
  </si>
  <si>
    <t>SoldatenB6</t>
  </si>
  <si>
    <t>SoldatenB7</t>
  </si>
  <si>
    <t>SoldatenB9</t>
  </si>
  <si>
    <t>SoldatenB10</t>
  </si>
  <si>
    <t>ArbeitnehmerE2</t>
  </si>
  <si>
    <t>ArbeitnehmerE2UE</t>
  </si>
  <si>
    <t>ArbeitnehmerE3</t>
  </si>
  <si>
    <t>ArbeitnehmerE4</t>
  </si>
  <si>
    <t>ArbeitnehmerE5</t>
  </si>
  <si>
    <t>ArbeitnehmerE6</t>
  </si>
  <si>
    <t>ArbeitnehmerE7</t>
  </si>
  <si>
    <t>ArbeitnehmerE8</t>
  </si>
  <si>
    <t>ArbeitnehmerE9A</t>
  </si>
  <si>
    <t>ArbeitnehmerE9B</t>
  </si>
  <si>
    <t>ArbeitnehmerE9C</t>
  </si>
  <si>
    <t>ArbeitnehmerE10</t>
  </si>
  <si>
    <t>ArbeitnehmerE11</t>
  </si>
  <si>
    <t>ArbeitnehmerE12</t>
  </si>
  <si>
    <t>ArbeitnehmerE13</t>
  </si>
  <si>
    <t>ArbeitnehmerE14</t>
  </si>
  <si>
    <t>ArbeitnehmerE15</t>
  </si>
  <si>
    <t>ArbeitnehmerE15UE</t>
  </si>
  <si>
    <t>ArbeitnehmerB1</t>
  </si>
  <si>
    <t>ArbeitnehmerB6</t>
  </si>
  <si>
    <t>Bei Bedarf bitte auswählen</t>
  </si>
  <si>
    <t>VZÄ</t>
  </si>
  <si>
    <t>Anzahl</t>
  </si>
  <si>
    <t>Ende der Maßnahme:</t>
  </si>
  <si>
    <r>
      <t xml:space="preserve">Art der Maßnahme:
</t>
    </r>
    <r>
      <rPr>
        <b/>
        <sz val="9"/>
        <color theme="1"/>
        <rFont val="BundesSans Office"/>
        <family val="2"/>
      </rPr>
      <t xml:space="preserve">einmalig, unterjährig </t>
    </r>
  </si>
  <si>
    <r>
      <t xml:space="preserve">Für die weitere Bearbeitung dieser Vorlage sind bitte alle grau hinterlegten Felder auszufüllen.
</t>
    </r>
    <r>
      <rPr>
        <b/>
        <sz val="9"/>
        <color rgb="FFFF0000"/>
        <rFont val="BundesSans Office"/>
        <family val="2"/>
      </rPr>
      <t>Das Einfügen von weiteren Zeilen ist in diesem Template NICHT vorgesehen.</t>
    </r>
  </si>
  <si>
    <t>Personalnorm-kosten</t>
  </si>
  <si>
    <r>
      <rPr>
        <b/>
        <i/>
        <sz val="9"/>
        <color indexed="8"/>
        <rFont val="BundesSans Office"/>
        <family val="2"/>
      </rPr>
      <t xml:space="preserve">Thema 
</t>
    </r>
    <r>
      <rPr>
        <sz val="9"/>
        <color indexed="8"/>
        <rFont val="BundesSans Office"/>
        <family val="2"/>
      </rPr>
      <t>der PolBil:</t>
    </r>
  </si>
  <si>
    <r>
      <rPr>
        <b/>
        <i/>
        <sz val="9"/>
        <color indexed="8"/>
        <rFont val="BundesSans Office"/>
        <family val="2"/>
      </rPr>
      <t xml:space="preserve">Zielsetzung </t>
    </r>
    <r>
      <rPr>
        <sz val="9"/>
        <color indexed="8"/>
        <rFont val="BundesSans Office"/>
        <family val="2"/>
      </rPr>
      <t xml:space="preserve">
allgemein:</t>
    </r>
  </si>
  <si>
    <t>Ziel der politischen Bildung ist das auf eigenständigem Urteil beruhende Bejahen des 
demokratischen Staates und das aktive Eintreten für die freiheitliche demokratische Grundordnung. 
Politische Bildung dient insbesondere der Entwicklung eines demokratischen Bewusstseins sowie dem Erwerb von Kompetenzen für die aktive Teilnahme an politischen Prozessen.
(Vgl. AR A-2620/1 "Politische Bildung", Kap. 3, Ziff. 301)</t>
  </si>
  <si>
    <r>
      <rPr>
        <b/>
        <i/>
        <sz val="9"/>
        <color indexed="8"/>
        <rFont val="BundesSans Office"/>
        <family val="2"/>
      </rPr>
      <t>Beschreibung</t>
    </r>
    <r>
      <rPr>
        <sz val="9"/>
        <color indexed="8"/>
        <rFont val="BundesSans Office"/>
        <family val="2"/>
      </rPr>
      <t xml:space="preserve"> und </t>
    </r>
    <r>
      <rPr>
        <b/>
        <i/>
        <sz val="9"/>
        <color indexed="8"/>
        <rFont val="BundesSans Office"/>
        <family val="2"/>
      </rPr>
      <t>Zielsetzung</t>
    </r>
    <r>
      <rPr>
        <sz val="9"/>
        <color indexed="8"/>
        <rFont val="BundesSans Office"/>
        <family val="2"/>
      </rPr>
      <t xml:space="preserve"> der konkreten Maßnahme:</t>
    </r>
  </si>
  <si>
    <t>geplante Teilnehmerzahl:</t>
  </si>
  <si>
    <t>Wirtschaftlichkeitsuntersuchung 
für die Inanspruchnahme einer 
politischen Bildungsmaßnahme (PolBil)</t>
  </si>
  <si>
    <t>Dieses Template ist ein Hilfsmittel für die angemessene Dokumentation von Wirtschaftlichkeitsuntersuchungen zu finanzwirksamen Maßnahmen in Form einer politischen Bildungsmaßnahme, sofern die Maßnahme die folgenden Voraussetzungen erfüllt:
- Es handelt sich grundsätzlich um eine unterjährige finanzwirksame Maßnahme.
- Es handelt sich um einen einmaligen, nicht wiederkehrenden Bedarf.
- Zudem sollte die WU einen geringen Komplexitätsgrad aufweisen und daraus 
resultierend einen geringen Dokumentationsumfang zur Nachvollziehbarkeit benötigen.
Davon unbenommen ist die Durchführung einer umfassenden (übergreifenden) WU, 
sollte ein dauerhafter wiederkehrender Bedarf an externen Leistungen bestehen. 
KompZWUBw regt in diesen Fällen an, an jeweils zentraler Stelle eine übergreifende WU durchzuführen. 
Bei überjährigen Maßnahmen sind ggf. auch die OrgReferate zu beteiligen.
Durch den Bedarfsträger ist zu prüfen, ob eine politische Bildung nach der Allgemeinen Regelung A-2620/1 „Politische Bildung“ vorliegt. In diesem Fall sind die Regelungen zur Inanspruchnahme dieser Leistung (AR A-2620/1, Kap. 9) zu beachten.</t>
  </si>
  <si>
    <t>AR A-2620/1 "Politische Bildung", Kap. 9, Ziff. 904</t>
  </si>
  <si>
    <t>Die politische Bildung in der Bundeswehr wird in unterschiedlichen Themenkreisen, Themenfelder, Ausprägungstiefen und Methoden durchgeführt. Die Themen werden in der Vorschrift AR A-2620/1 "Politische Bildung" vorgegeben und mittels jährlicher Weisung festgelegt. Die Ausgestaltung der politischen Bildung ist von der jeweils beabsichtigten Zielsetzung abhängig und differiert stark. Daher ist eine Aussage zur bisherigen Bedarfsdeckung in der Regel nicht möglich.</t>
  </si>
  <si>
    <t>ist nicht bedarfsdeckend, weil:</t>
  </si>
  <si>
    <t>verstößt gegen:</t>
  </si>
  <si>
    <t>Durchführung in der Dienststelle mit Vorträgen der Teilnehmenden (Bw-Personal)</t>
  </si>
  <si>
    <t>Durchführung in der Dienststelle mit Vorträgen externer Dozenten</t>
  </si>
  <si>
    <t>Durchführung außerhalb der Dienststelle mit einem Bildungsträger</t>
  </si>
  <si>
    <t>Ausgabe pro Person / Einheit pro Tag</t>
  </si>
  <si>
    <t>Kraftfahrzeug Dienststelle</t>
  </si>
  <si>
    <t>Kraftfahrzeug Miete</t>
  </si>
  <si>
    <t>Kraftfahrzeug Privat</t>
  </si>
  <si>
    <t>Bahn / Zug</t>
  </si>
  <si>
    <t>Unterkunft</t>
  </si>
  <si>
    <t>Normkosten:
Bei Bedarf bitte auswählen</t>
  </si>
  <si>
    <t>Transport:
Bei Bedarf bitte auswählen</t>
  </si>
  <si>
    <t>Unterkunft:
Bei Bedarf bitte auswählen</t>
  </si>
  <si>
    <t>Tagegeld:
Bei Bedarf bitte auswählen</t>
  </si>
  <si>
    <r>
      <rPr>
        <u/>
        <sz val="11"/>
        <color theme="1"/>
        <rFont val="Calibri"/>
        <family val="2"/>
        <scheme val="minor"/>
      </rPr>
      <t>Transport:</t>
    </r>
    <r>
      <rPr>
        <sz val="11"/>
        <color theme="1"/>
        <rFont val="Calibri"/>
        <family val="2"/>
        <scheme val="minor"/>
      </rPr>
      <t xml:space="preserve">
Bei Bedarf bitte auswählen</t>
    </r>
  </si>
  <si>
    <r>
      <rPr>
        <u/>
        <sz val="11"/>
        <color theme="1"/>
        <rFont val="Calibri"/>
        <family val="2"/>
        <scheme val="minor"/>
      </rPr>
      <t>Unterkunft:</t>
    </r>
    <r>
      <rPr>
        <sz val="11"/>
        <color theme="1"/>
        <rFont val="Calibri"/>
        <family val="2"/>
        <scheme val="minor"/>
      </rPr>
      <t xml:space="preserve">
Bei Bedarf bitte auswählen</t>
    </r>
  </si>
  <si>
    <r>
      <rPr>
        <u/>
        <sz val="11"/>
        <color theme="1"/>
        <rFont val="Calibri"/>
        <family val="2"/>
        <scheme val="minor"/>
      </rPr>
      <t>Tagegeld:</t>
    </r>
    <r>
      <rPr>
        <sz val="11"/>
        <color theme="1"/>
        <rFont val="Calibri"/>
        <family val="2"/>
        <scheme val="minor"/>
      </rPr>
      <t xml:space="preserve">
Bei Bedarf bitte auswählen</t>
    </r>
  </si>
  <si>
    <t>Anzahl Personen / Einheiten</t>
  </si>
  <si>
    <t>Anzahl Tage / Nächte</t>
  </si>
  <si>
    <t>Ausgaben für 
Reisedurchführung</t>
  </si>
  <si>
    <r>
      <t xml:space="preserve">Ausgaben für 
</t>
    </r>
    <r>
      <rPr>
        <b/>
        <i/>
        <sz val="9"/>
        <color theme="1"/>
        <rFont val="BundesSans Office"/>
        <family val="2"/>
      </rPr>
      <t>Bw</t>
    </r>
    <r>
      <rPr>
        <i/>
        <sz val="9"/>
        <color theme="1"/>
        <rFont val="BundesSans Office"/>
        <family val="2"/>
      </rPr>
      <t xml:space="preserve">-Personal </t>
    </r>
  </si>
  <si>
    <t>Bildungsträger</t>
  </si>
  <si>
    <t>Eintrittsgelder</t>
  </si>
  <si>
    <t>externe Tagungsräume</t>
  </si>
  <si>
    <t>externe Dozenten</t>
  </si>
  <si>
    <t xml:space="preserve">Sonstiges
</t>
  </si>
  <si>
    <r>
      <t xml:space="preserve">Ausgaben für 
</t>
    </r>
    <r>
      <rPr>
        <b/>
        <sz val="9"/>
        <color theme="1"/>
        <rFont val="BundesSans Office"/>
        <family val="2"/>
      </rPr>
      <t>Bw</t>
    </r>
    <r>
      <rPr>
        <sz val="9"/>
        <color theme="1"/>
        <rFont val="BundesSans Office"/>
        <family val="2"/>
      </rPr>
      <t>-Personal und
Reisedurchführung</t>
    </r>
  </si>
  <si>
    <t>Personalnormkosten Arbeitnehmer</t>
  </si>
  <si>
    <t>Personalnormkosten Beamte</t>
  </si>
  <si>
    <t>Personalnormkosten Soldaten</t>
  </si>
  <si>
    <r>
      <rPr>
        <u/>
        <sz val="7"/>
        <color theme="1"/>
        <rFont val="Arial Narrow"/>
        <family val="2"/>
      </rPr>
      <t xml:space="preserve">Normkosten: 
</t>
    </r>
    <r>
      <rPr>
        <sz val="7"/>
        <color theme="1"/>
        <rFont val="Arial Narrow"/>
        <family val="2"/>
      </rPr>
      <t>Bei Bedarf bitte auswählen</t>
    </r>
  </si>
  <si>
    <t>Nach Abschluss der Maßnahme wird geprüft, ob alle geplanten Teilnehmenden teilgenommen haben. Den Teilnehmenden wird nach Abschluss der Maßnahme ein Fragebogen zur Überprüfung des Erlerntern zur Verfügung gestellt oder es werden kurze Impulsvorträge gehalten.</t>
  </si>
  <si>
    <r>
      <rPr>
        <b/>
        <sz val="9"/>
        <color indexed="8"/>
        <rFont val="BundesSans Office"/>
        <family val="2"/>
      </rPr>
      <t xml:space="preserve">Option/-en:
</t>
    </r>
    <r>
      <rPr>
        <sz val="9"/>
        <color rgb="FF000000"/>
        <rFont val="BundesSans Office"/>
        <family val="2"/>
      </rPr>
      <t>Es kann immer zu gesundheitsbedingten Ausfällen einzelner Teilnehmenden kommen. Dadurch würden folgende Stornogebühren entstehen:</t>
    </r>
  </si>
  <si>
    <r>
      <rPr>
        <b/>
        <sz val="9"/>
        <color indexed="8"/>
        <rFont val="BundesSans Office"/>
        <family val="2"/>
      </rPr>
      <t xml:space="preserve">Option/-en:
</t>
    </r>
    <r>
      <rPr>
        <sz val="9"/>
        <color rgb="FF000000"/>
        <rFont val="BundesSans Office"/>
        <family val="2"/>
      </rPr>
      <t>Es kann zum Ausfall der Gesamtveranstaltung kommen. 
Dadurch würden folgende Stornogebühren entstehen:</t>
    </r>
  </si>
  <si>
    <t>Hinweise zur Berechnung des Tagegeldes</t>
  </si>
  <si>
    <t>Hinweise zur Berücksichtigung der 
An- und Abreise mit Dienstfahrzeugen</t>
  </si>
  <si>
    <t>Beispiele für Materialausgaben</t>
  </si>
  <si>
    <t>Hinweise zu den Ausgaben für Reisedurchführung</t>
  </si>
  <si>
    <t>BeamteA5E</t>
  </si>
  <si>
    <t>BeamteA6M</t>
  </si>
  <si>
    <t>BeamteA9M</t>
  </si>
  <si>
    <t>BeamteA9MZ</t>
  </si>
  <si>
    <t>BeamteA9G</t>
  </si>
  <si>
    <t>BeamteA13GZ</t>
  </si>
  <si>
    <t>BeamteA13H</t>
  </si>
  <si>
    <t>BeamteA15Z</t>
  </si>
  <si>
    <t>SoldatenA3Z</t>
  </si>
  <si>
    <t>SoldatenA4Z</t>
  </si>
  <si>
    <t>SoldatenA5E</t>
  </si>
  <si>
    <t>SoldatenA5EZ</t>
  </si>
  <si>
    <t>SoldatenA6E</t>
  </si>
  <si>
    <t>SoldatenA6EZ</t>
  </si>
  <si>
    <t>SoldatenA5M</t>
  </si>
  <si>
    <t>SoldatenA6M</t>
  </si>
  <si>
    <t>SoldatenA7Z</t>
  </si>
  <si>
    <t>SoldatenA8Z</t>
  </si>
  <si>
    <t>SoldatenA9M</t>
  </si>
  <si>
    <t>SoldatenA9MZ</t>
  </si>
  <si>
    <t>SoldatenA9G</t>
  </si>
  <si>
    <t>SoldatenA13G</t>
  </si>
  <si>
    <t>SoldatenA13GZ</t>
  </si>
  <si>
    <t>SoldatenA13H</t>
  </si>
  <si>
    <t>SoldatenB10Z</t>
  </si>
  <si>
    <t>ArbeitnehmerB2</t>
  </si>
  <si>
    <t>Ein</t>
  </si>
  <si>
    <t>Inland o. Mittagessen</t>
  </si>
  <si>
    <t>BeamtA6E</t>
  </si>
  <si>
    <t>BeamteA6M/A7</t>
  </si>
  <si>
    <t>BeamteA6M-A8</t>
  </si>
  <si>
    <t>BeamteA7/A8</t>
  </si>
  <si>
    <t>BeamteA9G/A10</t>
  </si>
  <si>
    <t>BeamteA9G-A11</t>
  </si>
  <si>
    <t>BeamteA13G</t>
  </si>
  <si>
    <t>BeamteA13H/A14</t>
  </si>
  <si>
    <t>SoldatenA3-A5E</t>
  </si>
  <si>
    <t>SoldatenA5M-A7</t>
  </si>
  <si>
    <t>SoldatenA7-A9MZ</t>
  </si>
  <si>
    <t>SoldatenA9G-A11</t>
  </si>
  <si>
    <t>SoldatenA13H/A14</t>
  </si>
  <si>
    <t>Maßnahmen-verantwortlicher:</t>
  </si>
  <si>
    <t>Durchführungs-verantwortlicher (Bearbeiter):</t>
  </si>
  <si>
    <r>
      <t xml:space="preserve">„PersDat Schutzbereich 1“
„SE 10066864 S“
</t>
    </r>
    <r>
      <rPr>
        <sz val="8"/>
        <color indexed="8"/>
        <rFont val="BundesSans Office"/>
        <family val="2"/>
      </rPr>
      <t>Version: 28.01.2026</t>
    </r>
  </si>
  <si>
    <t>Dienststelle/
OrgEinheit: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</si>
</sst>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quot;€&quot;* #,##0.00_);_(&quot;€&quot;* \(#,##0.00\);_(&quot;€&quot;* &quot;-&quot;??_);_(@_)"/>
    <numFmt numFmtId="165" formatCode="#,##0.00\ &quot;€&quot;"/>
    <numFmt numFmtId="166" formatCode="0.0"/>
    <numFmt numFmtId="167" formatCode="#,##0\ _€"/>
  </numFmts>
  <fonts count="36" x14ac:knownFonts="1">
    <font>
      <sz val="11"/>
      <color theme="1"/>
      <name val="Calibri"/>
      <family val="2"/>
      <scheme val="minor"/>
    </font>
    <font>
      <sz val="11"/>
      <color theme="1"/>
      <name val="Calibri"/>
      <family val="2"/>
      <scheme val="minor"/>
    </font>
    <font>
      <sz val="9"/>
      <color theme="1"/>
      <name val="Arial"/>
      <family val="2"/>
    </font>
    <font>
      <sz val="11"/>
      <name val="Calibri"/>
      <family val="2"/>
      <scheme val="minor"/>
    </font>
    <font>
      <b/>
      <sz val="9"/>
      <color theme="0"/>
      <name val="Arial"/>
      <family val="2"/>
    </font>
    <font>
      <b/>
      <sz val="11"/>
      <color theme="1"/>
      <name val="Calibri"/>
      <family val="2"/>
      <scheme val="minor"/>
    </font>
    <font>
      <sz val="11"/>
      <color theme="1"/>
      <name val="BundesSans Regular"/>
      <family val="2"/>
    </font>
    <font>
      <sz val="9"/>
      <color theme="1"/>
      <name val="BundesSans Office"/>
      <family val="2"/>
    </font>
    <font>
      <b/>
      <sz val="9"/>
      <color theme="0"/>
      <name val="BundesSans Office"/>
      <family val="2"/>
    </font>
    <font>
      <b/>
      <sz val="11"/>
      <color theme="1"/>
      <name val="BundesSans Office"/>
      <family val="2"/>
    </font>
    <font>
      <b/>
      <sz val="8"/>
      <color theme="1"/>
      <name val="BundesSans Office"/>
      <family val="2"/>
    </font>
    <font>
      <sz val="8"/>
      <color indexed="8"/>
      <name val="BundesSans Office"/>
      <family val="2"/>
    </font>
    <font>
      <b/>
      <sz val="9"/>
      <color theme="1"/>
      <name val="BundesSans Office"/>
      <family val="2"/>
    </font>
    <font>
      <b/>
      <i/>
      <sz val="9"/>
      <color indexed="8"/>
      <name val="BundesSans Office"/>
      <family val="2"/>
    </font>
    <font>
      <sz val="9"/>
      <color indexed="8"/>
      <name val="BundesSans Office"/>
      <family val="2"/>
    </font>
    <font>
      <sz val="9"/>
      <color indexed="9"/>
      <name val="BundesSans Office"/>
      <family val="2"/>
    </font>
    <font>
      <sz val="9"/>
      <color theme="0"/>
      <name val="BundesSans Office"/>
      <family val="2"/>
    </font>
    <font>
      <b/>
      <sz val="6"/>
      <color theme="0"/>
      <name val="BundesSans Office"/>
      <family val="2"/>
    </font>
    <font>
      <b/>
      <i/>
      <sz val="9"/>
      <color theme="1"/>
      <name val="BundesSans Office"/>
      <family val="2"/>
    </font>
    <font>
      <i/>
      <sz val="9"/>
      <color theme="1"/>
      <name val="BundesSans Office"/>
      <family val="2"/>
    </font>
    <font>
      <b/>
      <sz val="9"/>
      <name val="BundesSans Office"/>
      <family val="2"/>
    </font>
    <font>
      <sz val="9"/>
      <name val="BundesSans Office"/>
      <family val="2"/>
    </font>
    <font>
      <i/>
      <sz val="9"/>
      <color indexed="8"/>
      <name val="BundesSans Office"/>
      <family val="2"/>
    </font>
    <font>
      <sz val="8"/>
      <name val="BundesSans Office"/>
      <family val="2"/>
    </font>
    <font>
      <i/>
      <sz val="8"/>
      <color theme="0" tint="-0.499984740745262"/>
      <name val="BundesSans Office"/>
      <family val="2"/>
    </font>
    <font>
      <b/>
      <sz val="9"/>
      <color indexed="8"/>
      <name val="BundesSans Office"/>
      <family val="2"/>
    </font>
    <font>
      <i/>
      <u/>
      <sz val="9"/>
      <color theme="1"/>
      <name val="BundesSans Office"/>
      <family val="2"/>
    </font>
    <font>
      <sz val="7"/>
      <color theme="1"/>
      <name val="Arial Narrow"/>
      <family val="2"/>
    </font>
    <font>
      <sz val="10"/>
      <color theme="1"/>
      <name val="Arial"/>
      <family val="2"/>
    </font>
    <font>
      <b/>
      <i/>
      <sz val="9"/>
      <name val="BundesSans Office"/>
      <family val="2"/>
    </font>
    <font>
      <b/>
      <i/>
      <sz val="8"/>
      <name val="BundesSans Office"/>
      <family val="2"/>
    </font>
    <font>
      <b/>
      <sz val="9"/>
      <color rgb="FFFF0000"/>
      <name val="BundesSans Office"/>
      <family val="2"/>
    </font>
    <font>
      <u/>
      <sz val="11"/>
      <color theme="1"/>
      <name val="Calibri"/>
      <family val="2"/>
      <scheme val="minor"/>
    </font>
    <font>
      <u/>
      <sz val="7"/>
      <color theme="1"/>
      <name val="Arial Narrow"/>
      <family val="2"/>
    </font>
    <font>
      <i/>
      <sz val="9"/>
      <name val="BundesSans Office"/>
      <family val="2"/>
    </font>
    <font>
      <sz val="9"/>
      <color rgb="FF000000"/>
      <name val="BundesSans Office"/>
      <family val="2"/>
    </font>
  </fonts>
  <fills count="8">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rgb="FFFFFFB7"/>
        <bgColor indexed="64"/>
      </patternFill>
    </fill>
    <fill>
      <patternFill patternType="solid">
        <fgColor theme="3" tint="0.79998168889431442"/>
        <bgColor indexed="64"/>
      </patternFill>
    </fill>
    <fill>
      <patternFill patternType="solid">
        <fgColor theme="9" tint="0.59999389629810485"/>
        <bgColor indexed="64"/>
      </patternFill>
    </fill>
  </fills>
  <borders count="38">
    <border>
      <left/>
      <right/>
      <top/>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medium">
        <color indexed="64"/>
      </right>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231">
    <xf numFmtId="0" fontId="0" fillId="0" borderId="0" xfId="0"/>
    <xf numFmtId="0" fontId="0" fillId="0" borderId="0" xfId="0" applyAlignment="1">
      <alignment horizontal="left"/>
    </xf>
    <xf numFmtId="0" fontId="0" fillId="0" borderId="0" xfId="0" applyAlignment="1">
      <alignment horizontal="right"/>
    </xf>
    <xf numFmtId="166" fontId="0" fillId="0" borderId="0" xfId="0" quotePrefix="1" applyNumberFormat="1" applyAlignment="1">
      <alignment horizontal="right"/>
    </xf>
    <xf numFmtId="1" fontId="0" fillId="0" borderId="0" xfId="0" applyNumberFormat="1" applyAlignment="1">
      <alignment horizontal="right"/>
    </xf>
    <xf numFmtId="166" fontId="0" fillId="0" borderId="0" xfId="0" applyNumberFormat="1" applyAlignment="1">
      <alignment horizontal="right"/>
    </xf>
    <xf numFmtId="0" fontId="0" fillId="0" borderId="0" xfId="0" applyAlignment="1">
      <alignment wrapText="1"/>
    </xf>
    <xf numFmtId="0" fontId="2" fillId="0" borderId="0" xfId="0" applyFont="1" applyFill="1" applyBorder="1" applyAlignment="1" applyProtection="1">
      <alignment vertical="center" wrapText="1"/>
      <protection locked="0"/>
    </xf>
    <xf numFmtId="0" fontId="2" fillId="0" borderId="0" xfId="0" applyFont="1" applyFill="1" applyBorder="1" applyAlignment="1" applyProtection="1">
      <alignment vertical="center" wrapText="1"/>
    </xf>
    <xf numFmtId="0" fontId="3" fillId="0" borderId="0" xfId="0" applyFont="1"/>
    <xf numFmtId="0" fontId="5" fillId="0" borderId="0" xfId="0" applyFont="1"/>
    <xf numFmtId="0" fontId="0" fillId="4" borderId="0" xfId="0" applyFill="1"/>
    <xf numFmtId="0" fontId="0" fillId="0" borderId="0" xfId="0" applyFill="1"/>
    <xf numFmtId="165" fontId="4" fillId="0" borderId="0" xfId="0" applyNumberFormat="1" applyFont="1" applyFill="1" applyBorder="1" applyAlignment="1" applyProtection="1">
      <alignment vertical="center"/>
    </xf>
    <xf numFmtId="0" fontId="6" fillId="3" borderId="0" xfId="0" applyFont="1" applyFill="1"/>
    <xf numFmtId="165" fontId="8" fillId="3" borderId="0" xfId="0" applyNumberFormat="1" applyFont="1" applyFill="1" applyBorder="1" applyAlignment="1" applyProtection="1">
      <alignment vertical="center"/>
    </xf>
    <xf numFmtId="0" fontId="7" fillId="2" borderId="1" xfId="0" applyFont="1" applyFill="1" applyBorder="1" applyAlignment="1" applyProtection="1">
      <alignment horizontal="centerContinuous" vertical="center" wrapText="1"/>
      <protection locked="0"/>
    </xf>
    <xf numFmtId="0" fontId="7" fillId="3" borderId="3" xfId="0" applyFont="1" applyFill="1" applyBorder="1" applyAlignment="1" applyProtection="1">
      <alignment horizontal="centerContinuous" vertical="center" wrapText="1"/>
      <protection locked="0"/>
    </xf>
    <xf numFmtId="14" fontId="7" fillId="2" borderId="5" xfId="0" applyNumberFormat="1" applyFont="1" applyFill="1" applyBorder="1" applyAlignment="1" applyProtection="1">
      <alignment horizontal="centerContinuous" vertical="center" wrapText="1"/>
      <protection locked="0"/>
    </xf>
    <xf numFmtId="0" fontId="7" fillId="3" borderId="4" xfId="0" applyFont="1" applyFill="1" applyBorder="1" applyAlignment="1" applyProtection="1">
      <alignment horizontal="center" vertical="center" wrapText="1"/>
      <protection locked="0"/>
    </xf>
    <xf numFmtId="14" fontId="7" fillId="2" borderId="1" xfId="0" applyNumberFormat="1" applyFont="1" applyFill="1" applyBorder="1" applyAlignment="1" applyProtection="1">
      <alignment horizontal="centerContinuous" vertical="center" wrapText="1"/>
      <protection locked="0"/>
    </xf>
    <xf numFmtId="0" fontId="7" fillId="3" borderId="5" xfId="0" applyFont="1" applyFill="1" applyBorder="1" applyAlignment="1" applyProtection="1">
      <alignment vertical="center" wrapText="1"/>
      <protection locked="0"/>
    </xf>
    <xf numFmtId="0" fontId="7" fillId="3" borderId="4" xfId="0" applyFont="1" applyFill="1" applyBorder="1" applyAlignment="1" applyProtection="1">
      <alignment horizontal="centerContinuous" vertical="center" wrapText="1"/>
    </xf>
    <xf numFmtId="0" fontId="7" fillId="3" borderId="3" xfId="0" applyFont="1" applyFill="1" applyBorder="1" applyAlignment="1" applyProtection="1">
      <alignment horizontal="centerContinuous" vertical="center" wrapText="1"/>
    </xf>
    <xf numFmtId="0" fontId="7" fillId="3" borderId="1" xfId="0" applyFont="1" applyFill="1" applyBorder="1" applyAlignment="1" applyProtection="1">
      <alignment horizontal="centerContinuous" vertical="center" wrapText="1"/>
    </xf>
    <xf numFmtId="0" fontId="7" fillId="2" borderId="1" xfId="0" applyFont="1" applyFill="1" applyBorder="1" applyAlignment="1" applyProtection="1">
      <alignment horizontal="centerContinuous" vertical="center" wrapText="1"/>
    </xf>
    <xf numFmtId="0" fontId="7" fillId="3" borderId="7" xfId="0" applyFont="1" applyFill="1" applyBorder="1" applyAlignment="1" applyProtection="1">
      <alignment horizontal="center" vertical="center" wrapText="1"/>
      <protection locked="0"/>
    </xf>
    <xf numFmtId="0" fontId="7" fillId="2" borderId="19" xfId="0" applyFont="1" applyFill="1" applyBorder="1" applyAlignment="1" applyProtection="1">
      <alignment horizontal="centerContinuous" vertical="center" wrapText="1"/>
    </xf>
    <xf numFmtId="0" fontId="7" fillId="3" borderId="19" xfId="0" applyFont="1" applyFill="1" applyBorder="1" applyAlignment="1" applyProtection="1">
      <alignment horizontal="centerContinuous" vertical="center" wrapText="1"/>
    </xf>
    <xf numFmtId="0" fontId="7" fillId="3" borderId="20" xfId="0" applyFont="1" applyFill="1" applyBorder="1" applyAlignment="1" applyProtection="1">
      <alignment horizontal="centerContinuous" vertical="center" wrapText="1"/>
    </xf>
    <xf numFmtId="0" fontId="7" fillId="3" borderId="5" xfId="0" applyFont="1" applyFill="1" applyBorder="1" applyAlignment="1" applyProtection="1">
      <alignment horizontal="center" vertical="center" wrapText="1"/>
      <protection locked="0"/>
    </xf>
    <xf numFmtId="0" fontId="7" fillId="3" borderId="5" xfId="0" applyFont="1" applyFill="1" applyBorder="1" applyAlignment="1" applyProtection="1">
      <alignment horizontal="center" vertical="center" wrapText="1"/>
    </xf>
    <xf numFmtId="0" fontId="7" fillId="0" borderId="3" xfId="0" applyFont="1" applyFill="1" applyBorder="1" applyAlignment="1" applyProtection="1">
      <alignment horizontal="centerContinuous" vertical="center" wrapText="1"/>
    </xf>
    <xf numFmtId="0" fontId="12" fillId="3" borderId="7" xfId="0" applyFont="1" applyFill="1" applyBorder="1" applyAlignment="1" applyProtection="1">
      <alignment horizontal="right" vertical="center" wrapText="1"/>
    </xf>
    <xf numFmtId="0" fontId="12" fillId="3" borderId="6" xfId="0" applyFont="1" applyFill="1" applyBorder="1" applyAlignment="1" applyProtection="1">
      <alignment horizontal="left" vertical="center" wrapText="1"/>
    </xf>
    <xf numFmtId="1" fontId="12" fillId="3" borderId="6" xfId="0" quotePrefix="1" applyNumberFormat="1" applyFont="1" applyFill="1" applyBorder="1" applyAlignment="1" applyProtection="1">
      <alignment horizontal="left" vertical="center" wrapText="1"/>
    </xf>
    <xf numFmtId="0" fontId="7" fillId="2" borderId="4" xfId="0" applyFont="1" applyFill="1" applyBorder="1" applyAlignment="1" applyProtection="1">
      <alignment horizontal="centerContinuous" vertical="center" wrapText="1"/>
    </xf>
    <xf numFmtId="0" fontId="18" fillId="3" borderId="5" xfId="0" applyFont="1" applyFill="1" applyBorder="1" applyAlignment="1" applyProtection="1">
      <alignment horizontal="center" vertical="center" wrapText="1"/>
    </xf>
    <xf numFmtId="0" fontId="12" fillId="3" borderId="3" xfId="0" applyFont="1" applyFill="1" applyBorder="1" applyAlignment="1" applyProtection="1">
      <alignment horizontal="center" vertical="center" wrapText="1"/>
    </xf>
    <xf numFmtId="0" fontId="12" fillId="3" borderId="8" xfId="0" applyFont="1" applyFill="1" applyBorder="1" applyAlignment="1" applyProtection="1">
      <alignment horizontal="left" wrapText="1"/>
      <protection locked="0"/>
    </xf>
    <xf numFmtId="0" fontId="12" fillId="3" borderId="8" xfId="0" applyFont="1" applyFill="1" applyBorder="1" applyAlignment="1" applyProtection="1">
      <alignment horizontal="left" vertical="top" wrapText="1"/>
      <protection locked="0"/>
    </xf>
    <xf numFmtId="0" fontId="7" fillId="3" borderId="8" xfId="0" applyFont="1" applyFill="1" applyBorder="1" applyAlignment="1" applyProtection="1">
      <alignment vertical="top" wrapText="1"/>
      <protection locked="0"/>
    </xf>
    <xf numFmtId="0" fontId="19" fillId="3" borderId="5" xfId="0" applyFont="1" applyFill="1" applyBorder="1" applyAlignment="1" applyProtection="1">
      <alignment horizontal="center" vertical="center" wrapText="1"/>
    </xf>
    <xf numFmtId="0" fontId="23" fillId="2" borderId="4" xfId="0" applyFont="1" applyFill="1" applyBorder="1" applyAlignment="1" applyProtection="1">
      <alignment horizontal="centerContinuous" vertical="center" wrapText="1"/>
    </xf>
    <xf numFmtId="0" fontId="24" fillId="3" borderId="4" xfId="0" applyFont="1" applyFill="1" applyBorder="1" applyAlignment="1" applyProtection="1">
      <alignment horizontal="centerContinuous" vertical="center" wrapText="1"/>
    </xf>
    <xf numFmtId="165" fontId="12" fillId="2" borderId="5" xfId="0" applyNumberFormat="1" applyFont="1" applyFill="1" applyBorder="1" applyAlignment="1" applyProtection="1">
      <alignment horizontal="center" vertical="center"/>
    </xf>
    <xf numFmtId="0" fontId="7" fillId="3" borderId="8" xfId="0" applyFont="1" applyFill="1" applyBorder="1" applyAlignment="1" applyProtection="1">
      <alignment horizontal="centerContinuous" vertical="top" wrapText="1"/>
      <protection locked="0"/>
    </xf>
    <xf numFmtId="0" fontId="19" fillId="3" borderId="22" xfId="0" applyFont="1" applyFill="1" applyBorder="1" applyAlignment="1" applyProtection="1">
      <alignment horizontal="center" vertical="center" wrapText="1"/>
    </xf>
    <xf numFmtId="165" fontId="12" fillId="2" borderId="10" xfId="0" applyNumberFormat="1" applyFont="1" applyFill="1" applyBorder="1" applyAlignment="1" applyProtection="1">
      <alignment horizontal="center" vertical="center"/>
    </xf>
    <xf numFmtId="0" fontId="12" fillId="3" borderId="5" xfId="0" applyFont="1" applyFill="1" applyBorder="1" applyAlignment="1" applyProtection="1">
      <alignment horizontal="center" vertical="center" wrapText="1"/>
    </xf>
    <xf numFmtId="0" fontId="23" fillId="2" borderId="19" xfId="0" applyFont="1" applyFill="1" applyBorder="1" applyAlignment="1" applyProtection="1">
      <alignment horizontal="centerContinuous" vertical="center" wrapText="1"/>
    </xf>
    <xf numFmtId="0" fontId="24" fillId="3" borderId="19" xfId="0" applyFont="1" applyFill="1" applyBorder="1" applyAlignment="1" applyProtection="1">
      <alignment horizontal="centerContinuous" vertical="center" wrapText="1"/>
    </xf>
    <xf numFmtId="165" fontId="12" fillId="2" borderId="23" xfId="0" applyNumberFormat="1" applyFont="1" applyFill="1" applyBorder="1" applyAlignment="1" applyProtection="1">
      <alignment horizontal="center" vertical="center"/>
    </xf>
    <xf numFmtId="0" fontId="21" fillId="3" borderId="8" xfId="0" applyFont="1" applyFill="1" applyBorder="1" applyAlignment="1" applyProtection="1">
      <alignment horizontal="left" vertical="top" wrapText="1"/>
      <protection locked="0"/>
    </xf>
    <xf numFmtId="0" fontId="12" fillId="0" borderId="5" xfId="0" applyFont="1" applyFill="1" applyBorder="1" applyAlignment="1" applyProtection="1">
      <alignment horizontal="center" vertical="center" wrapText="1"/>
    </xf>
    <xf numFmtId="165" fontId="7" fillId="3" borderId="12" xfId="0" applyNumberFormat="1" applyFont="1" applyFill="1" applyBorder="1" applyAlignment="1" applyProtection="1">
      <alignment horizontal="center" vertical="center"/>
    </xf>
    <xf numFmtId="165" fontId="7" fillId="3" borderId="14" xfId="0" applyNumberFormat="1" applyFont="1" applyFill="1" applyBorder="1" applyAlignment="1" applyProtection="1">
      <alignment horizontal="center" vertical="center"/>
    </xf>
    <xf numFmtId="0" fontId="12" fillId="3" borderId="11" xfId="0" applyFont="1" applyFill="1" applyBorder="1" applyAlignment="1" applyProtection="1">
      <alignment horizontal="centerContinuous" vertical="center" wrapText="1"/>
    </xf>
    <xf numFmtId="165" fontId="7" fillId="3" borderId="18" xfId="0" applyNumberFormat="1" applyFont="1" applyFill="1" applyBorder="1" applyAlignment="1" applyProtection="1">
      <alignment horizontal="center" vertical="center" wrapText="1"/>
    </xf>
    <xf numFmtId="165" fontId="7" fillId="3" borderId="2" xfId="0" applyNumberFormat="1" applyFont="1" applyFill="1" applyBorder="1" applyAlignment="1" applyProtection="1">
      <alignment horizontal="center" vertical="center"/>
    </xf>
    <xf numFmtId="165" fontId="7" fillId="3" borderId="9" xfId="0" applyNumberFormat="1" applyFont="1" applyFill="1" applyBorder="1" applyAlignment="1" applyProtection="1">
      <alignment horizontal="center" vertical="center"/>
    </xf>
    <xf numFmtId="0" fontId="7" fillId="3" borderId="1" xfId="0" applyFont="1" applyFill="1" applyBorder="1" applyAlignment="1" applyProtection="1">
      <alignment horizontal="centerContinuous" vertical="center" wrapText="1"/>
      <protection locked="0"/>
    </xf>
    <xf numFmtId="165" fontId="7" fillId="3" borderId="15" xfId="0" applyNumberFormat="1" applyFont="1" applyFill="1" applyBorder="1" applyAlignment="1" applyProtection="1">
      <alignment horizontal="center" vertical="center"/>
    </xf>
    <xf numFmtId="165" fontId="7" fillId="3" borderId="13" xfId="0" applyNumberFormat="1" applyFont="1" applyFill="1" applyBorder="1" applyAlignment="1" applyProtection="1">
      <alignment horizontal="center" vertical="center"/>
    </xf>
    <xf numFmtId="165" fontId="7" fillId="3" borderId="16" xfId="0" applyNumberFormat="1" applyFont="1" applyFill="1" applyBorder="1" applyAlignment="1" applyProtection="1">
      <alignment horizontal="center" vertical="center"/>
    </xf>
    <xf numFmtId="165" fontId="7" fillId="3" borderId="17" xfId="0" applyNumberFormat="1" applyFont="1" applyFill="1" applyBorder="1" applyAlignment="1" applyProtection="1">
      <alignment horizontal="center" vertical="center"/>
    </xf>
    <xf numFmtId="165" fontId="12" fillId="0" borderId="5" xfId="0" applyNumberFormat="1" applyFont="1" applyFill="1" applyBorder="1" applyAlignment="1" applyProtection="1">
      <alignment horizontal="center" vertical="center"/>
    </xf>
    <xf numFmtId="0" fontId="12" fillId="3" borderId="1" xfId="0" applyFont="1" applyFill="1" applyBorder="1" applyAlignment="1" applyProtection="1">
      <alignment horizontal="left" vertical="center" wrapText="1"/>
    </xf>
    <xf numFmtId="165" fontId="7" fillId="2" borderId="5" xfId="0" applyNumberFormat="1" applyFont="1" applyFill="1" applyBorder="1" applyAlignment="1" applyProtection="1">
      <alignment horizontal="center" vertical="center" wrapText="1"/>
    </xf>
    <xf numFmtId="10" fontId="7" fillId="2" borderId="5" xfId="0" applyNumberFormat="1" applyFont="1" applyFill="1" applyBorder="1" applyAlignment="1" applyProtection="1">
      <alignment horizontal="center" vertical="center" wrapText="1"/>
    </xf>
    <xf numFmtId="0" fontId="12" fillId="3" borderId="10" xfId="0" applyFont="1" applyFill="1" applyBorder="1" applyAlignment="1" applyProtection="1">
      <alignment horizontal="centerContinuous" vertical="center" wrapText="1"/>
    </xf>
    <xf numFmtId="165" fontId="7" fillId="3" borderId="10" xfId="1" applyNumberFormat="1" applyFont="1" applyFill="1" applyBorder="1" applyAlignment="1" applyProtection="1">
      <alignment horizontal="center" vertical="center" wrapText="1"/>
    </xf>
    <xf numFmtId="0" fontId="12" fillId="3" borderId="21" xfId="0" applyFont="1" applyFill="1" applyBorder="1" applyAlignment="1" applyProtection="1">
      <alignment horizontal="centerContinuous" vertical="center" wrapText="1"/>
    </xf>
    <xf numFmtId="165" fontId="7" fillId="3" borderId="21" xfId="1" applyNumberFormat="1" applyFont="1" applyFill="1" applyBorder="1" applyAlignment="1" applyProtection="1">
      <alignment horizontal="center" vertical="center" wrapText="1"/>
    </xf>
    <xf numFmtId="165" fontId="12" fillId="3" borderId="5" xfId="0" applyNumberFormat="1" applyFont="1" applyFill="1" applyBorder="1" applyAlignment="1" applyProtection="1">
      <alignment horizontal="center" wrapText="1"/>
    </xf>
    <xf numFmtId="167" fontId="12" fillId="3" borderId="5" xfId="0" applyNumberFormat="1" applyFont="1" applyFill="1" applyBorder="1" applyAlignment="1" applyProtection="1">
      <alignment horizontal="center" vertical="center" wrapText="1"/>
    </xf>
    <xf numFmtId="165" fontId="12" fillId="3" borderId="3" xfId="0" applyNumberFormat="1" applyFont="1" applyFill="1" applyBorder="1" applyAlignment="1" applyProtection="1">
      <alignment horizontal="center" vertical="center" wrapText="1"/>
      <protection locked="0"/>
    </xf>
    <xf numFmtId="0" fontId="27" fillId="7" borderId="0" xfId="0" applyFont="1" applyFill="1"/>
    <xf numFmtId="0" fontId="28" fillId="7" borderId="0" xfId="0" applyFont="1" applyFill="1"/>
    <xf numFmtId="0" fontId="27" fillId="7" borderId="0" xfId="0" applyFont="1" applyFill="1" applyAlignment="1">
      <alignment wrapText="1"/>
    </xf>
    <xf numFmtId="0" fontId="18" fillId="3" borderId="3" xfId="0" applyFont="1" applyFill="1" applyBorder="1" applyAlignment="1" applyProtection="1">
      <alignment horizontal="center" vertical="center" wrapText="1"/>
    </xf>
    <xf numFmtId="165" fontId="12" fillId="3" borderId="30" xfId="0" applyNumberFormat="1" applyFont="1" applyFill="1" applyBorder="1" applyAlignment="1" applyProtection="1">
      <alignment horizontal="center" vertical="center"/>
    </xf>
    <xf numFmtId="0" fontId="29" fillId="3" borderId="0" xfId="0" applyFont="1" applyFill="1" applyBorder="1" applyAlignment="1">
      <alignment horizontal="right" vertical="center" wrapText="1"/>
    </xf>
    <xf numFmtId="0" fontId="29" fillId="3" borderId="0" xfId="0" applyFont="1" applyFill="1" applyBorder="1" applyAlignment="1">
      <alignment horizontal="right" wrapText="1"/>
    </xf>
    <xf numFmtId="0" fontId="30" fillId="3" borderId="0" xfId="0" applyFont="1" applyFill="1" applyBorder="1" applyAlignment="1">
      <alignment horizontal="right" vertical="center" wrapText="1"/>
    </xf>
    <xf numFmtId="165" fontId="20" fillId="3" borderId="0" xfId="0" applyNumberFormat="1" applyFont="1" applyFill="1" applyBorder="1" applyAlignment="1" applyProtection="1">
      <alignment vertical="center"/>
    </xf>
    <xf numFmtId="165" fontId="31" fillId="3" borderId="0" xfId="0" applyNumberFormat="1" applyFont="1" applyFill="1" applyBorder="1" applyAlignment="1" applyProtection="1">
      <alignment vertical="center"/>
    </xf>
    <xf numFmtId="2" fontId="30" fillId="3" borderId="0" xfId="0" applyNumberFormat="1" applyFont="1" applyFill="1" applyBorder="1" applyAlignment="1">
      <alignment horizontal="right" vertical="center" wrapText="1"/>
    </xf>
    <xf numFmtId="165" fontId="12" fillId="3" borderId="5" xfId="0" applyNumberFormat="1" applyFont="1" applyFill="1" applyBorder="1" applyAlignment="1" applyProtection="1">
      <alignment horizontal="center" vertical="center"/>
    </xf>
    <xf numFmtId="0" fontId="20" fillId="2" borderId="5" xfId="0" applyFont="1" applyFill="1" applyBorder="1" applyAlignment="1" applyProtection="1">
      <alignment horizontal="center" vertical="center" wrapText="1"/>
    </xf>
    <xf numFmtId="0" fontId="12" fillId="2" borderId="5" xfId="0" applyFont="1" applyFill="1" applyBorder="1" applyAlignment="1" applyProtection="1">
      <alignment horizontal="center" vertical="center" wrapText="1"/>
    </xf>
    <xf numFmtId="0" fontId="20" fillId="2" borderId="23" xfId="0" applyFont="1" applyFill="1" applyBorder="1" applyAlignment="1" applyProtection="1">
      <alignment horizontal="center" vertical="center" wrapText="1"/>
    </xf>
    <xf numFmtId="0" fontId="21" fillId="3" borderId="8" xfId="0" applyFont="1" applyFill="1" applyBorder="1" applyAlignment="1" applyProtection="1">
      <alignment horizontal="left" vertical="top" wrapText="1"/>
      <protection locked="0"/>
    </xf>
    <xf numFmtId="0" fontId="7" fillId="2" borderId="23" xfId="0" applyFont="1" applyFill="1" applyBorder="1" applyAlignment="1" applyProtection="1">
      <alignment horizontal="center" vertical="center" wrapText="1"/>
    </xf>
    <xf numFmtId="0" fontId="7" fillId="3" borderId="1" xfId="0" applyFont="1" applyFill="1" applyBorder="1" applyAlignment="1" applyProtection="1">
      <alignment vertical="center" wrapText="1"/>
    </xf>
    <xf numFmtId="0" fontId="7" fillId="3" borderId="4" xfId="0" applyFont="1" applyFill="1" applyBorder="1" applyAlignment="1" applyProtection="1">
      <alignment vertical="center" wrapText="1"/>
    </xf>
    <xf numFmtId="0" fontId="7" fillId="3" borderId="3" xfId="0" applyFont="1" applyFill="1" applyBorder="1" applyAlignment="1" applyProtection="1">
      <alignment vertical="center" wrapText="1"/>
    </xf>
    <xf numFmtId="0" fontId="12" fillId="3" borderId="4" xfId="0" applyFont="1" applyFill="1" applyBorder="1" applyAlignment="1" applyProtection="1">
      <alignment horizontal="centerContinuous" vertical="center" wrapText="1"/>
    </xf>
    <xf numFmtId="0" fontId="12" fillId="3" borderId="3" xfId="0" applyFont="1" applyFill="1" applyBorder="1" applyAlignment="1" applyProtection="1">
      <alignment horizontal="centerContinuous" vertical="center" wrapText="1"/>
    </xf>
    <xf numFmtId="165" fontId="7" fillId="3" borderId="4" xfId="0" applyNumberFormat="1" applyFont="1" applyFill="1" applyBorder="1" applyAlignment="1" applyProtection="1">
      <alignment horizontal="center" vertical="top" wrapText="1"/>
    </xf>
    <xf numFmtId="0" fontId="15" fillId="3" borderId="6" xfId="0" applyFont="1" applyFill="1" applyBorder="1" applyAlignment="1" applyProtection="1">
      <alignment horizontal="center" vertical="center" wrapText="1"/>
    </xf>
    <xf numFmtId="0" fontId="15" fillId="3" borderId="1" xfId="0" applyFont="1" applyFill="1" applyBorder="1" applyAlignment="1" applyProtection="1">
      <alignment horizontal="center" vertical="center" wrapText="1"/>
    </xf>
    <xf numFmtId="165" fontId="12" fillId="3" borderId="32" xfId="0" applyNumberFormat="1" applyFont="1" applyFill="1" applyBorder="1" applyAlignment="1" applyProtection="1">
      <alignment horizontal="center" vertical="center"/>
    </xf>
    <xf numFmtId="0" fontId="20" fillId="2" borderId="31" xfId="0" applyFont="1" applyFill="1" applyBorder="1" applyAlignment="1" applyProtection="1">
      <alignment horizontal="center" vertical="center" wrapText="1"/>
    </xf>
    <xf numFmtId="0" fontId="19" fillId="3" borderId="4" xfId="0" applyFont="1" applyFill="1" applyBorder="1" applyAlignment="1" applyProtection="1">
      <alignment horizontal="center" vertical="center" wrapText="1"/>
    </xf>
    <xf numFmtId="0" fontId="20" fillId="2" borderId="25" xfId="0" applyFont="1" applyFill="1" applyBorder="1" applyAlignment="1" applyProtection="1">
      <alignment horizontal="center" vertical="center" wrapText="1"/>
    </xf>
    <xf numFmtId="0" fontId="34" fillId="3" borderId="4" xfId="0" applyFont="1" applyFill="1" applyBorder="1" applyAlignment="1" applyProtection="1">
      <alignment horizontal="center" vertical="center" wrapText="1"/>
    </xf>
    <xf numFmtId="0" fontId="12" fillId="3" borderId="24" xfId="0" applyFont="1" applyFill="1" applyBorder="1" applyAlignment="1" applyProtection="1">
      <alignment horizontal="left" wrapText="1"/>
      <protection locked="0"/>
    </xf>
    <xf numFmtId="1" fontId="0" fillId="0" borderId="0" xfId="0" quotePrefix="1" applyNumberFormat="1" applyAlignment="1">
      <alignment horizontal="right"/>
    </xf>
    <xf numFmtId="1" fontId="0" fillId="0" borderId="0" xfId="0" applyNumberFormat="1"/>
    <xf numFmtId="0" fontId="20" fillId="2" borderId="4" xfId="0" applyFont="1" applyFill="1" applyBorder="1" applyAlignment="1" applyProtection="1">
      <alignment horizontal="center" vertical="center" wrapText="1"/>
    </xf>
    <xf numFmtId="0" fontId="21" fillId="2" borderId="5" xfId="0" applyFont="1" applyFill="1" applyBorder="1" applyAlignment="1" applyProtection="1">
      <alignment horizontal="center" vertical="center" wrapText="1"/>
    </xf>
    <xf numFmtId="165" fontId="21" fillId="2" borderId="5" xfId="0" applyNumberFormat="1" applyFont="1" applyFill="1" applyBorder="1" applyAlignment="1" applyProtection="1">
      <alignment horizontal="center" vertical="center" wrapText="1"/>
    </xf>
    <xf numFmtId="0" fontId="21" fillId="2" borderId="24" xfId="0" applyFont="1" applyFill="1" applyBorder="1" applyAlignment="1" applyProtection="1">
      <alignment horizontal="centerContinuous" vertical="center" wrapText="1"/>
    </xf>
    <xf numFmtId="0" fontId="21" fillId="2" borderId="5" xfId="0" applyFont="1" applyFill="1" applyBorder="1" applyAlignment="1" applyProtection="1">
      <alignment horizontal="center" vertical="center"/>
    </xf>
    <xf numFmtId="0" fontId="21" fillId="2" borderId="26" xfId="0" applyFont="1" applyFill="1" applyBorder="1" applyAlignment="1" applyProtection="1">
      <alignment horizontal="centerContinuous" vertical="center" wrapText="1"/>
    </xf>
    <xf numFmtId="0" fontId="21" fillId="2" borderId="1" xfId="0" applyFont="1" applyFill="1" applyBorder="1" applyAlignment="1" applyProtection="1">
      <alignment horizontal="center" vertical="center" wrapText="1"/>
    </xf>
    <xf numFmtId="9" fontId="21" fillId="2" borderId="3" xfId="2" applyNumberFormat="1" applyFont="1" applyFill="1" applyBorder="1" applyAlignment="1" applyProtection="1">
      <alignment horizontal="center" vertical="center"/>
    </xf>
    <xf numFmtId="0" fontId="21" fillId="2" borderId="19" xfId="0" applyFont="1" applyFill="1" applyBorder="1" applyAlignment="1" applyProtection="1">
      <alignment horizontal="center" vertical="center" wrapText="1"/>
    </xf>
    <xf numFmtId="0" fontId="21" fillId="2" borderId="23" xfId="0" applyFont="1" applyFill="1" applyBorder="1" applyAlignment="1" applyProtection="1">
      <alignment horizontal="centerContinuous" vertical="center" wrapText="1"/>
    </xf>
    <xf numFmtId="9" fontId="21" fillId="2" borderId="20" xfId="2" applyNumberFormat="1" applyFont="1" applyFill="1" applyBorder="1" applyAlignment="1" applyProtection="1">
      <alignment horizontal="center" vertical="center" wrapText="1"/>
    </xf>
    <xf numFmtId="0" fontId="21" fillId="3" borderId="5" xfId="0" applyFont="1" applyFill="1" applyBorder="1" applyAlignment="1" applyProtection="1">
      <alignment horizontal="center" vertical="center" wrapText="1"/>
    </xf>
    <xf numFmtId="0" fontId="12" fillId="3" borderId="25" xfId="0" applyFont="1" applyFill="1" applyBorder="1" applyAlignment="1" applyProtection="1">
      <alignment horizontal="center" vertical="center" wrapText="1"/>
    </xf>
    <xf numFmtId="0" fontId="7" fillId="3" borderId="23" xfId="0" applyFont="1" applyFill="1" applyBorder="1" applyAlignment="1" applyProtection="1">
      <alignment vertical="top" wrapText="1"/>
      <protection locked="0"/>
    </xf>
    <xf numFmtId="0" fontId="12" fillId="3" borderId="21" xfId="0" applyFont="1" applyFill="1" applyBorder="1" applyAlignment="1" applyProtection="1">
      <alignment horizontal="center" vertical="center" wrapText="1"/>
    </xf>
    <xf numFmtId="165" fontId="12" fillId="3" borderId="3" xfId="0" applyNumberFormat="1" applyFont="1" applyFill="1" applyBorder="1" applyAlignment="1" applyProtection="1">
      <alignment horizontal="centerContinuous" vertical="center" wrapText="1"/>
    </xf>
    <xf numFmtId="0" fontId="12" fillId="3" borderId="28" xfId="0" applyFont="1" applyFill="1" applyBorder="1" applyAlignment="1" applyProtection="1">
      <alignment horizontal="centerContinuous" vertical="center" wrapText="1"/>
    </xf>
    <xf numFmtId="0" fontId="12" fillId="3" borderId="10" xfId="0" applyFont="1" applyFill="1" applyBorder="1" applyAlignment="1" applyProtection="1">
      <alignment horizontal="center" vertical="center" wrapText="1"/>
    </xf>
    <xf numFmtId="0" fontId="9" fillId="3" borderId="8" xfId="0" applyFont="1" applyFill="1" applyBorder="1" applyAlignment="1" applyProtection="1">
      <alignment horizontal="left" wrapText="1"/>
      <protection locked="0"/>
    </xf>
    <xf numFmtId="0" fontId="9" fillId="3" borderId="8" xfId="0" applyFont="1" applyFill="1" applyBorder="1" applyAlignment="1" applyProtection="1">
      <alignment horizontal="left" vertical="top" wrapText="1"/>
    </xf>
    <xf numFmtId="0" fontId="21" fillId="3" borderId="8" xfId="0" applyFont="1" applyFill="1" applyBorder="1" applyAlignment="1" applyProtection="1">
      <alignment vertical="top" wrapText="1"/>
      <protection locked="0"/>
    </xf>
    <xf numFmtId="0" fontId="21" fillId="3" borderId="23" xfId="0" applyFont="1" applyFill="1" applyBorder="1" applyAlignment="1" applyProtection="1">
      <alignment vertical="top" wrapText="1"/>
      <protection locked="0"/>
    </xf>
    <xf numFmtId="0" fontId="12" fillId="3" borderId="23" xfId="0" applyFont="1" applyFill="1" applyBorder="1" applyAlignment="1" applyProtection="1">
      <alignment vertical="center" wrapText="1"/>
    </xf>
    <xf numFmtId="0" fontId="9" fillId="3" borderId="22" xfId="0" applyFont="1" applyFill="1" applyBorder="1" applyAlignment="1" applyProtection="1">
      <alignment horizontal="left" wrapText="1"/>
      <protection locked="0"/>
    </xf>
    <xf numFmtId="0" fontId="12" fillId="3" borderId="8" xfId="0" applyFont="1" applyFill="1" applyBorder="1" applyAlignment="1" applyProtection="1">
      <alignment wrapText="1"/>
      <protection locked="0"/>
    </xf>
    <xf numFmtId="165" fontId="7" fillId="3" borderId="35" xfId="0" applyNumberFormat="1" applyFont="1" applyFill="1" applyBorder="1" applyAlignment="1" applyProtection="1">
      <alignment horizontal="center" vertical="center" wrapText="1"/>
    </xf>
    <xf numFmtId="165" fontId="7" fillId="3" borderId="33" xfId="0" applyNumberFormat="1" applyFont="1" applyFill="1" applyBorder="1" applyAlignment="1" applyProtection="1">
      <alignment horizontal="center" vertical="center" wrapText="1"/>
    </xf>
    <xf numFmtId="165" fontId="7" fillId="3" borderId="18" xfId="0" applyNumberFormat="1" applyFont="1" applyFill="1" applyBorder="1" applyAlignment="1" applyProtection="1">
      <alignment horizontal="center" vertical="center"/>
    </xf>
    <xf numFmtId="165" fontId="7" fillId="3" borderId="34" xfId="0" applyNumberFormat="1" applyFont="1" applyFill="1" applyBorder="1" applyAlignment="1" applyProtection="1">
      <alignment horizontal="center" vertical="center"/>
    </xf>
    <xf numFmtId="165" fontId="7" fillId="3" borderId="36" xfId="0" applyNumberFormat="1" applyFont="1" applyFill="1" applyBorder="1" applyAlignment="1" applyProtection="1">
      <alignment horizontal="center" vertical="center" wrapText="1"/>
    </xf>
    <xf numFmtId="165" fontId="7" fillId="3" borderId="37" xfId="0" applyNumberFormat="1" applyFont="1" applyFill="1" applyBorder="1" applyAlignment="1" applyProtection="1">
      <alignment horizontal="center" vertical="center"/>
    </xf>
    <xf numFmtId="165" fontId="7" fillId="3" borderId="36" xfId="0" applyNumberFormat="1" applyFont="1" applyFill="1" applyBorder="1" applyAlignment="1" applyProtection="1">
      <alignment horizontal="center" vertical="center"/>
    </xf>
    <xf numFmtId="0" fontId="8" fillId="3" borderId="6" xfId="0" applyFont="1" applyFill="1" applyBorder="1" applyAlignment="1" applyProtection="1">
      <alignment horizontal="left" vertical="center" wrapText="1"/>
    </xf>
    <xf numFmtId="0" fontId="19" fillId="3" borderId="8" xfId="0" applyFont="1" applyFill="1" applyBorder="1" applyAlignment="1" applyProtection="1">
      <alignment horizontal="center" vertical="center" wrapText="1"/>
    </xf>
    <xf numFmtId="0" fontId="19" fillId="3" borderId="23" xfId="0" applyFont="1" applyFill="1" applyBorder="1" applyAlignment="1" applyProtection="1">
      <alignment horizontal="center" vertical="center" wrapText="1"/>
    </xf>
    <xf numFmtId="0" fontId="19" fillId="3" borderId="22" xfId="0" applyFont="1" applyFill="1" applyBorder="1" applyAlignment="1" applyProtection="1">
      <alignment horizontal="center" vertical="center" wrapText="1"/>
    </xf>
    <xf numFmtId="0" fontId="0" fillId="3" borderId="0" xfId="0" applyFill="1" applyBorder="1" applyAlignment="1">
      <alignment horizontal="centerContinuous" vertical="center" wrapText="1"/>
    </xf>
    <xf numFmtId="0" fontId="0" fillId="3" borderId="27" xfId="0" applyFill="1" applyBorder="1" applyAlignment="1">
      <alignment horizontal="centerContinuous" vertical="center" wrapText="1"/>
    </xf>
    <xf numFmtId="0" fontId="0" fillId="3" borderId="19" xfId="0" applyFill="1" applyBorder="1" applyAlignment="1">
      <alignment horizontal="centerContinuous" vertical="center"/>
    </xf>
    <xf numFmtId="0" fontId="0" fillId="3" borderId="20" xfId="0" applyFill="1" applyBorder="1" applyAlignment="1">
      <alignment horizontal="centerContinuous" vertical="center"/>
    </xf>
    <xf numFmtId="0" fontId="19" fillId="3" borderId="22" xfId="0" applyFont="1" applyFill="1" applyBorder="1" applyAlignment="1" applyProtection="1">
      <alignment horizontal="center" vertical="top" wrapText="1"/>
    </xf>
    <xf numFmtId="0" fontId="19" fillId="3" borderId="8" xfId="0" applyFont="1" applyFill="1" applyBorder="1" applyAlignment="1" applyProtection="1">
      <alignment horizontal="center" vertical="top" wrapText="1"/>
    </xf>
    <xf numFmtId="0" fontId="19" fillId="3" borderId="23" xfId="0" applyFont="1" applyFill="1" applyBorder="1" applyAlignment="1" applyProtection="1">
      <alignment horizontal="center" vertical="top" wrapText="1"/>
    </xf>
    <xf numFmtId="0" fontId="19" fillId="3" borderId="8" xfId="0" applyFont="1" applyFill="1" applyBorder="1" applyAlignment="1" applyProtection="1">
      <alignment vertical="top" wrapText="1"/>
    </xf>
    <xf numFmtId="0" fontId="19" fillId="3" borderId="23" xfId="0" applyFont="1" applyFill="1" applyBorder="1" applyAlignment="1" applyProtection="1">
      <alignment vertical="top" wrapText="1"/>
    </xf>
    <xf numFmtId="0" fontId="0" fillId="3" borderId="0" xfId="0" applyFill="1"/>
    <xf numFmtId="0" fontId="20" fillId="2" borderId="10" xfId="0" applyFont="1" applyFill="1" applyBorder="1" applyAlignment="1" applyProtection="1">
      <alignment horizontal="center" vertical="center" wrapText="1"/>
    </xf>
    <xf numFmtId="0" fontId="20" fillId="2" borderId="11" xfId="0" applyFont="1" applyFill="1" applyBorder="1" applyAlignment="1" applyProtection="1">
      <alignment horizontal="center" vertical="center" wrapText="1"/>
    </xf>
    <xf numFmtId="0" fontId="12" fillId="2" borderId="11" xfId="0" applyFont="1" applyFill="1" applyBorder="1" applyAlignment="1" applyProtection="1">
      <alignment horizontal="center" vertical="center" wrapText="1"/>
    </xf>
    <xf numFmtId="0" fontId="20" fillId="2" borderId="21" xfId="0" applyFont="1" applyFill="1" applyBorder="1" applyAlignment="1" applyProtection="1">
      <alignment horizontal="center" vertical="center" wrapText="1"/>
    </xf>
    <xf numFmtId="0" fontId="28" fillId="0" borderId="16" xfId="0" applyFont="1" applyBorder="1" applyAlignment="1">
      <alignment vertical="center"/>
    </xf>
    <xf numFmtId="43" fontId="28" fillId="0" borderId="16" xfId="3" applyFont="1" applyFill="1" applyBorder="1" applyAlignment="1">
      <alignment vertical="center"/>
    </xf>
    <xf numFmtId="43" fontId="28" fillId="0" borderId="16" xfId="3" applyFont="1" applyFill="1" applyBorder="1" applyAlignment="1">
      <alignment horizontal="center" vertical="center"/>
    </xf>
    <xf numFmtId="0" fontId="7" fillId="3" borderId="1" xfId="0" applyFont="1" applyFill="1" applyBorder="1" applyAlignment="1">
      <alignment horizontal="center" vertical="center" wrapText="1"/>
    </xf>
    <xf numFmtId="0" fontId="7" fillId="3" borderId="5" xfId="0" applyFont="1" applyFill="1" applyBorder="1" applyAlignment="1">
      <alignment horizontal="center" vertical="center" wrapText="1"/>
    </xf>
    <xf numFmtId="0" fontId="7" fillId="2" borderId="5" xfId="0" applyFont="1" applyFill="1" applyBorder="1" applyAlignment="1">
      <alignment horizontal="left" vertical="center" wrapText="1"/>
    </xf>
    <xf numFmtId="0" fontId="7" fillId="3" borderId="3" xfId="0" applyFont="1" applyFill="1" applyBorder="1" applyAlignment="1">
      <alignment horizontal="centerContinuous" vertical="center" wrapText="1"/>
    </xf>
    <xf numFmtId="0" fontId="7" fillId="3" borderId="7" xfId="0" applyFont="1" applyFill="1" applyBorder="1" applyAlignment="1" applyProtection="1">
      <alignment horizontal="center" vertical="center" wrapText="1"/>
      <protection locked="0"/>
    </xf>
    <xf numFmtId="0" fontId="7" fillId="3" borderId="25" xfId="0" applyFont="1" applyFill="1" applyBorder="1" applyAlignment="1" applyProtection="1">
      <alignment horizontal="center" vertical="center" wrapText="1"/>
      <protection locked="0"/>
    </xf>
    <xf numFmtId="0" fontId="7" fillId="3" borderId="24" xfId="0" applyFont="1" applyFill="1" applyBorder="1" applyAlignment="1" applyProtection="1">
      <alignment horizontal="center" vertical="center" wrapText="1"/>
      <protection locked="0"/>
    </xf>
    <xf numFmtId="0" fontId="7" fillId="3" borderId="27" xfId="0" applyFont="1" applyFill="1" applyBorder="1" applyAlignment="1" applyProtection="1">
      <alignment horizontal="center" vertical="center" wrapText="1"/>
      <protection locked="0"/>
    </xf>
    <xf numFmtId="0" fontId="7" fillId="3" borderId="26" xfId="0" applyFont="1" applyFill="1" applyBorder="1" applyAlignment="1" applyProtection="1">
      <alignment horizontal="center" vertical="center" wrapText="1"/>
      <protection locked="0"/>
    </xf>
    <xf numFmtId="0" fontId="7" fillId="3" borderId="20" xfId="0" applyFont="1" applyFill="1" applyBorder="1" applyAlignment="1" applyProtection="1">
      <alignment horizontal="center" vertical="center" wrapText="1"/>
      <protection locked="0"/>
    </xf>
    <xf numFmtId="0" fontId="19" fillId="3" borderId="8" xfId="0" applyFont="1" applyFill="1" applyBorder="1" applyAlignment="1" applyProtection="1">
      <alignment horizontal="center" vertical="center" wrapText="1"/>
    </xf>
    <xf numFmtId="0" fontId="19" fillId="3" borderId="23" xfId="0" applyFont="1" applyFill="1" applyBorder="1" applyAlignment="1" applyProtection="1">
      <alignment horizontal="center" vertical="center" wrapText="1"/>
    </xf>
    <xf numFmtId="0" fontId="19" fillId="3" borderId="22" xfId="0" applyFont="1" applyFill="1" applyBorder="1" applyAlignment="1" applyProtection="1">
      <alignment horizontal="center" vertical="center" wrapText="1"/>
    </xf>
    <xf numFmtId="0" fontId="20" fillId="3" borderId="22" xfId="0" applyFont="1" applyFill="1" applyBorder="1" applyAlignment="1" applyProtection="1">
      <alignment horizontal="left" wrapText="1"/>
    </xf>
    <xf numFmtId="0" fontId="20" fillId="3" borderId="23" xfId="0" applyFont="1" applyFill="1" applyBorder="1" applyAlignment="1" applyProtection="1">
      <alignment horizontal="left" wrapText="1"/>
    </xf>
    <xf numFmtId="0" fontId="7" fillId="3" borderId="8" xfId="0" applyFont="1" applyFill="1" applyBorder="1" applyAlignment="1" applyProtection="1">
      <alignment horizontal="left" vertical="top" wrapText="1"/>
      <protection locked="0"/>
    </xf>
    <xf numFmtId="0" fontId="9" fillId="5" borderId="1" xfId="0" applyFont="1" applyFill="1" applyBorder="1" applyAlignment="1" applyProtection="1">
      <alignment horizontal="left" vertical="center" wrapText="1"/>
    </xf>
    <xf numFmtId="0" fontId="9" fillId="5" borderId="4" xfId="0" applyFont="1" applyFill="1" applyBorder="1" applyAlignment="1" applyProtection="1">
      <alignment horizontal="left" vertical="center" wrapText="1"/>
    </xf>
    <xf numFmtId="0" fontId="9" fillId="5" borderId="3" xfId="0" applyFont="1" applyFill="1" applyBorder="1" applyAlignment="1" applyProtection="1">
      <alignment horizontal="left" vertical="center" wrapText="1"/>
    </xf>
    <xf numFmtId="0" fontId="18" fillId="3" borderId="1" xfId="0" applyFont="1" applyFill="1" applyBorder="1" applyAlignment="1" applyProtection="1">
      <alignment horizontal="right" vertical="center" wrapText="1"/>
    </xf>
    <xf numFmtId="0" fontId="18" fillId="3" borderId="4" xfId="0" applyFont="1" applyFill="1" applyBorder="1" applyAlignment="1" applyProtection="1">
      <alignment horizontal="right" vertical="center" wrapText="1"/>
    </xf>
    <xf numFmtId="0" fontId="18" fillId="3" borderId="3" xfId="0" applyFont="1" applyFill="1" applyBorder="1" applyAlignment="1" applyProtection="1">
      <alignment horizontal="right" vertical="center" wrapText="1"/>
    </xf>
    <xf numFmtId="0" fontId="21" fillId="3" borderId="8" xfId="0" applyFont="1" applyFill="1" applyBorder="1" applyAlignment="1" applyProtection="1">
      <alignment horizontal="left" vertical="top" wrapText="1"/>
      <protection locked="0"/>
    </xf>
    <xf numFmtId="0" fontId="21" fillId="2" borderId="1" xfId="0" applyFont="1" applyFill="1" applyBorder="1" applyAlignment="1" applyProtection="1">
      <alignment horizontal="left" vertical="center" wrapText="1"/>
    </xf>
    <xf numFmtId="0" fontId="21" fillId="2" borderId="4" xfId="0" applyFont="1" applyFill="1" applyBorder="1" applyAlignment="1" applyProtection="1">
      <alignment horizontal="left" vertical="center" wrapText="1"/>
    </xf>
    <xf numFmtId="0" fontId="21" fillId="2" borderId="3" xfId="0" applyFont="1" applyFill="1" applyBorder="1" applyAlignment="1" applyProtection="1">
      <alignment horizontal="left" vertical="center" wrapText="1"/>
    </xf>
    <xf numFmtId="0" fontId="7" fillId="2" borderId="1" xfId="0" applyFont="1" applyFill="1" applyBorder="1" applyAlignment="1" applyProtection="1">
      <alignment horizontal="left" wrapText="1"/>
    </xf>
    <xf numFmtId="0" fontId="7" fillId="2" borderId="4" xfId="0" applyFont="1" applyFill="1" applyBorder="1" applyAlignment="1" applyProtection="1">
      <alignment horizontal="left" wrapText="1"/>
    </xf>
    <xf numFmtId="0" fontId="7" fillId="2" borderId="3" xfId="0" applyFont="1" applyFill="1" applyBorder="1" applyAlignment="1" applyProtection="1">
      <alignment horizontal="left" wrapText="1"/>
    </xf>
    <xf numFmtId="0" fontId="7" fillId="3" borderId="6" xfId="0" applyFont="1" applyFill="1" applyBorder="1" applyAlignment="1" applyProtection="1">
      <alignment horizontal="center" vertical="center" wrapText="1"/>
      <protection locked="0"/>
    </xf>
    <xf numFmtId="0" fontId="7" fillId="3" borderId="0" xfId="0" applyFont="1" applyFill="1" applyBorder="1" applyAlignment="1" applyProtection="1">
      <alignment horizontal="center" vertical="center" wrapText="1"/>
      <protection locked="0"/>
    </xf>
    <xf numFmtId="0" fontId="7" fillId="3" borderId="19" xfId="0" applyFont="1" applyFill="1" applyBorder="1" applyAlignment="1" applyProtection="1">
      <alignment horizontal="center" vertical="center" wrapText="1"/>
      <protection locked="0"/>
    </xf>
    <xf numFmtId="0" fontId="18" fillId="3" borderId="1" xfId="0" applyFont="1" applyFill="1" applyBorder="1" applyAlignment="1" applyProtection="1">
      <alignment horizontal="center" vertical="center" wrapText="1"/>
      <protection locked="0"/>
    </xf>
    <xf numFmtId="0" fontId="18" fillId="3" borderId="4" xfId="0" applyFont="1" applyFill="1" applyBorder="1" applyAlignment="1" applyProtection="1">
      <alignment horizontal="center" vertical="center" wrapText="1"/>
      <protection locked="0"/>
    </xf>
    <xf numFmtId="0" fontId="18" fillId="3" borderId="19" xfId="0" applyFont="1" applyFill="1" applyBorder="1" applyAlignment="1" applyProtection="1">
      <alignment horizontal="center" vertical="center" wrapText="1"/>
      <protection locked="0"/>
    </xf>
    <xf numFmtId="0" fontId="7" fillId="3" borderId="4" xfId="0" applyFont="1" applyFill="1" applyBorder="1" applyAlignment="1" applyProtection="1">
      <alignment horizontal="left" vertical="center" wrapText="1"/>
    </xf>
    <xf numFmtId="0" fontId="7" fillId="3" borderId="3" xfId="0" applyFont="1" applyFill="1" applyBorder="1" applyAlignment="1" applyProtection="1">
      <alignment horizontal="left" vertical="center" wrapText="1"/>
    </xf>
    <xf numFmtId="0" fontId="26" fillId="3" borderId="1" xfId="0" applyFont="1" applyFill="1" applyBorder="1" applyAlignment="1" applyProtection="1">
      <alignment horizontal="right" vertical="center" wrapText="1"/>
    </xf>
    <xf numFmtId="0" fontId="26" fillId="3" borderId="4" xfId="0" applyFont="1" applyFill="1" applyBorder="1" applyAlignment="1" applyProtection="1">
      <alignment horizontal="right" vertical="center" wrapText="1"/>
    </xf>
    <xf numFmtId="0" fontId="12" fillId="3" borderId="4" xfId="0" applyFont="1" applyFill="1" applyBorder="1" applyAlignment="1" applyProtection="1">
      <alignment horizontal="left" vertical="center" wrapText="1"/>
    </xf>
    <xf numFmtId="0" fontId="12" fillId="3" borderId="3" xfId="0" applyFont="1" applyFill="1" applyBorder="1" applyAlignment="1" applyProtection="1">
      <alignment horizontal="left" vertical="center" wrapText="1"/>
    </xf>
    <xf numFmtId="0" fontId="7" fillId="3" borderId="1" xfId="0" applyFont="1" applyFill="1" applyBorder="1" applyAlignment="1" applyProtection="1">
      <alignment horizontal="left" vertical="center" wrapText="1"/>
    </xf>
    <xf numFmtId="0" fontId="7" fillId="5" borderId="1" xfId="0" applyFont="1" applyFill="1" applyBorder="1" applyAlignment="1">
      <alignment horizontal="center"/>
    </xf>
    <xf numFmtId="0" fontId="7" fillId="5" borderId="4" xfId="0" applyFont="1" applyFill="1" applyBorder="1" applyAlignment="1">
      <alignment horizontal="center"/>
    </xf>
    <xf numFmtId="0" fontId="7" fillId="5" borderId="3" xfId="0" applyFont="1" applyFill="1" applyBorder="1" applyAlignment="1">
      <alignment horizontal="center"/>
    </xf>
    <xf numFmtId="0" fontId="17" fillId="3" borderId="4" xfId="0" applyFont="1" applyFill="1" applyBorder="1" applyAlignment="1" applyProtection="1">
      <alignment horizontal="center" vertical="center" wrapText="1"/>
    </xf>
    <xf numFmtId="0" fontId="17" fillId="3" borderId="3" xfId="0" applyFont="1" applyFill="1" applyBorder="1" applyAlignment="1" applyProtection="1">
      <alignment horizontal="center" vertical="center" wrapText="1"/>
    </xf>
    <xf numFmtId="0" fontId="16" fillId="3" borderId="1" xfId="0" applyFont="1" applyFill="1" applyBorder="1" applyAlignment="1" applyProtection="1">
      <alignment horizontal="center" vertical="center" wrapText="1"/>
      <protection locked="0"/>
    </xf>
    <xf numFmtId="0" fontId="16" fillId="3" borderId="3" xfId="0" applyFont="1" applyFill="1" applyBorder="1" applyAlignment="1" applyProtection="1">
      <alignment horizontal="center" vertical="center" wrapText="1"/>
      <protection locked="0"/>
    </xf>
    <xf numFmtId="0" fontId="16" fillId="0" borderId="1" xfId="0" applyFont="1" applyFill="1" applyBorder="1" applyAlignment="1" applyProtection="1">
      <alignment horizontal="center" vertical="center" wrapText="1"/>
      <protection locked="0"/>
    </xf>
    <xf numFmtId="0" fontId="16" fillId="0" borderId="3" xfId="0" applyFont="1" applyFill="1" applyBorder="1" applyAlignment="1" applyProtection="1">
      <alignment horizontal="center" vertical="center" wrapText="1"/>
      <protection locked="0"/>
    </xf>
    <xf numFmtId="0" fontId="16" fillId="0" borderId="1" xfId="0" applyFont="1" applyFill="1" applyBorder="1" applyAlignment="1" applyProtection="1">
      <alignment horizontal="center" vertical="center" wrapText="1"/>
    </xf>
    <xf numFmtId="0" fontId="16" fillId="0" borderId="3" xfId="0" applyFont="1" applyFill="1" applyBorder="1" applyAlignment="1" applyProtection="1">
      <alignment horizontal="center" vertical="center" wrapText="1"/>
    </xf>
    <xf numFmtId="0" fontId="9" fillId="5" borderId="1" xfId="0" applyFont="1" applyFill="1" applyBorder="1" applyAlignment="1" applyProtection="1">
      <alignment horizontal="center" vertical="top" wrapText="1"/>
    </xf>
    <xf numFmtId="0" fontId="9" fillId="5" borderId="4" xfId="0" applyFont="1" applyFill="1" applyBorder="1" applyAlignment="1" applyProtection="1">
      <alignment horizontal="center" vertical="top" wrapText="1"/>
    </xf>
    <xf numFmtId="0" fontId="10" fillId="6" borderId="1" xfId="0" applyFont="1" applyFill="1" applyBorder="1" applyAlignment="1" applyProtection="1">
      <alignment horizontal="center" vertical="top" wrapText="1"/>
    </xf>
    <xf numFmtId="0" fontId="10" fillId="6" borderId="3" xfId="0" applyFont="1" applyFill="1" applyBorder="1" applyAlignment="1" applyProtection="1">
      <alignment horizontal="center" vertical="top" wrapText="1"/>
    </xf>
    <xf numFmtId="0" fontId="7" fillId="2" borderId="1" xfId="0" applyFont="1" applyFill="1" applyBorder="1" applyAlignment="1">
      <alignment horizontal="center" wrapText="1"/>
    </xf>
    <xf numFmtId="0" fontId="7" fillId="2" borderId="4" xfId="0" applyFont="1" applyFill="1" applyBorder="1" applyAlignment="1">
      <alignment horizontal="center" wrapText="1"/>
    </xf>
    <xf numFmtId="0" fontId="7" fillId="2" borderId="3" xfId="0" applyFont="1" applyFill="1" applyBorder="1" applyAlignment="1">
      <alignment horizontal="center" wrapText="1"/>
    </xf>
    <xf numFmtId="0" fontId="7" fillId="3" borderId="22" xfId="0" applyFont="1" applyFill="1" applyBorder="1" applyAlignment="1">
      <alignment horizontal="center" vertical="center" wrapText="1"/>
    </xf>
    <xf numFmtId="0" fontId="7" fillId="3" borderId="23" xfId="0" applyFont="1" applyFill="1" applyBorder="1" applyAlignment="1">
      <alignment horizontal="center" vertical="center" wrapText="1"/>
    </xf>
    <xf numFmtId="0" fontId="9" fillId="5" borderId="29"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7" fillId="5" borderId="1" xfId="0" applyFont="1" applyFill="1" applyBorder="1" applyAlignment="1">
      <alignment horizontal="center" wrapText="1"/>
    </xf>
    <xf numFmtId="0" fontId="7" fillId="5" borderId="4" xfId="0" applyFont="1" applyFill="1" applyBorder="1" applyAlignment="1">
      <alignment horizontal="center" wrapText="1"/>
    </xf>
    <xf numFmtId="0" fontId="7" fillId="5" borderId="3" xfId="0" applyFont="1" applyFill="1" applyBorder="1" applyAlignment="1">
      <alignment horizontal="center" wrapText="1"/>
    </xf>
  </cellXfs>
  <cellStyles count="4">
    <cellStyle name="Komma" xfId="3" builtinId="3"/>
    <cellStyle name="Prozent" xfId="2" builtinId="5"/>
    <cellStyle name="Standard" xfId="0" builtinId="0"/>
    <cellStyle name="Währung" xfId="1" builtinId="4"/>
  </cellStyles>
  <dxfs count="82">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theme="0"/>
      </font>
      <fill>
        <patternFill>
          <bgColor theme="0"/>
        </patternFill>
      </fill>
      <border>
        <vertical/>
        <horizontal/>
      </border>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theme="0" tint="-0.24994659260841701"/>
        </patternFill>
      </fill>
    </dxf>
    <dxf>
      <fill>
        <patternFill>
          <bgColor theme="0" tint="-0.24994659260841701"/>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8BD21D6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60-EC42-11CE-9E0D-00AA006002F3}" ax:persistence="persistStreamInit" r:id="rId1"/>
</file>

<file path=xl/activeX/activeX75.xml><?xml version="1.0" encoding="utf-8"?>
<ax:ocx xmlns:ax="http://schemas.microsoft.com/office/2006/activeX" xmlns:r="http://schemas.openxmlformats.org/officeDocument/2006/relationships" ax:classid="{8BD21D60-EC42-11CE-9E0D-00AA006002F3}" ax:persistence="persistStreamInit" r:id="rId1"/>
</file>

<file path=xl/activeX/activeX76.xml><?xml version="1.0" encoding="utf-8"?>
<ax:ocx xmlns:ax="http://schemas.microsoft.com/office/2006/activeX" xmlns:r="http://schemas.openxmlformats.org/officeDocument/2006/relationships" ax:classid="{8BD21D60-EC42-11CE-9E0D-00AA006002F3}" ax:persistence="persistStreamInit" r:id="rId1"/>
</file>

<file path=xl/activeX/activeX77.xml><?xml version="1.0" encoding="utf-8"?>
<ax:ocx xmlns:ax="http://schemas.microsoft.com/office/2006/activeX" xmlns:r="http://schemas.openxmlformats.org/officeDocument/2006/relationships" ax:classid="{8BD21D60-EC42-11CE-9E0D-00AA006002F3}" ax:persistence="persistStreamInit" r:id="rId1"/>
</file>

<file path=xl/activeX/activeX78.xml><?xml version="1.0" encoding="utf-8"?>
<ax:ocx xmlns:ax="http://schemas.microsoft.com/office/2006/activeX" xmlns:r="http://schemas.openxmlformats.org/officeDocument/2006/relationships" ax:classid="{8BD21D60-EC42-11CE-9E0D-00AA006002F3}" ax:persistence="persistStreamInit" r:id="rId1"/>
</file>

<file path=xl/activeX/activeX79.xml><?xml version="1.0" encoding="utf-8"?>
<ax:ocx xmlns:ax="http://schemas.microsoft.com/office/2006/activeX" xmlns:r="http://schemas.openxmlformats.org/officeDocument/2006/relationships" ax:classid="{8BD21D60-EC42-11CE-9E0D-00AA006002F3}" ax:persistence="persistStreamInit" r:id="rId1"/>
</file>

<file path=xl/activeX/activeX80.xml><?xml version="1.0" encoding="utf-8"?>
<ax:ocx xmlns:ax="http://schemas.microsoft.com/office/2006/activeX" xmlns:r="http://schemas.openxmlformats.org/officeDocument/2006/relationships" ax:classid="{8BD21D60-EC42-11CE-9E0D-00AA006002F3}" ax:persistence="persistStreamInit" r:id="rId1"/>
</file>

<file path=xl/activeX/activeX81.xml><?xml version="1.0" encoding="utf-8"?>
<ax:ocx xmlns:ax="http://schemas.microsoft.com/office/2006/activeX" xmlns:r="http://schemas.openxmlformats.org/officeDocument/2006/relationships" ax:classid="{8BD21D60-EC42-11CE-9E0D-00AA006002F3}" ax:persistence="persistStreamInit" r:id="rId1"/>
</file>

<file path=xl/activeX/activeX82.xml><?xml version="1.0" encoding="utf-8"?>
<ax:ocx xmlns:ax="http://schemas.microsoft.com/office/2006/activeX" xmlns:r="http://schemas.openxmlformats.org/officeDocument/2006/relationships" ax:classid="{8BD21D60-EC42-11CE-9E0D-00AA006002F3}" ax:persistence="persistStreamInit" r:id="rId1"/>
</file>

<file path=xl/activeX/activeX83.xml><?xml version="1.0" encoding="utf-8"?>
<ax:ocx xmlns:ax="http://schemas.microsoft.com/office/2006/activeX" xmlns:r="http://schemas.openxmlformats.org/officeDocument/2006/relationships" ax:classid="{8BD21D60-EC42-11CE-9E0D-00AA006002F3}" ax:persistence="persistStreamInit" r:id="rId1"/>
</file>

<file path=xl/activeX/activeX84.xml><?xml version="1.0" encoding="utf-8"?>
<ax:ocx xmlns:ax="http://schemas.microsoft.com/office/2006/activeX" xmlns:r="http://schemas.openxmlformats.org/officeDocument/2006/relationships" ax:classid="{8BD21D60-EC42-11CE-9E0D-00AA006002F3}" ax:persistence="persistStreamInit" r:id="rId1"/>
</file>

<file path=xl/activeX/activeX85.xml><?xml version="1.0" encoding="utf-8"?>
<ax:ocx xmlns:ax="http://schemas.microsoft.com/office/2006/activeX" xmlns:r="http://schemas.openxmlformats.org/officeDocument/2006/relationships" ax:classid="{8BD21D60-EC42-11CE-9E0D-00AA006002F3}"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13.emf"/><Relationship Id="rId18" Type="http://schemas.openxmlformats.org/officeDocument/2006/relationships/image" Target="../media/image18.emf"/><Relationship Id="rId26" Type="http://schemas.openxmlformats.org/officeDocument/2006/relationships/image" Target="../media/image26.emf"/><Relationship Id="rId39" Type="http://schemas.openxmlformats.org/officeDocument/2006/relationships/image" Target="../media/image39.emf"/><Relationship Id="rId21" Type="http://schemas.openxmlformats.org/officeDocument/2006/relationships/image" Target="../media/image21.emf"/><Relationship Id="rId34" Type="http://schemas.openxmlformats.org/officeDocument/2006/relationships/image" Target="../media/image34.emf"/><Relationship Id="rId42" Type="http://schemas.openxmlformats.org/officeDocument/2006/relationships/image" Target="../media/image42.emf"/><Relationship Id="rId47" Type="http://schemas.openxmlformats.org/officeDocument/2006/relationships/image" Target="../media/image47.emf"/><Relationship Id="rId50" Type="http://schemas.openxmlformats.org/officeDocument/2006/relationships/image" Target="../media/image50.emf"/><Relationship Id="rId55" Type="http://schemas.openxmlformats.org/officeDocument/2006/relationships/image" Target="../media/image55.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emf"/><Relationship Id="rId38" Type="http://schemas.openxmlformats.org/officeDocument/2006/relationships/image" Target="../media/image38.emf"/><Relationship Id="rId46" Type="http://schemas.openxmlformats.org/officeDocument/2006/relationships/image" Target="../media/image46.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29" Type="http://schemas.openxmlformats.org/officeDocument/2006/relationships/image" Target="../media/image29.emf"/><Relationship Id="rId41" Type="http://schemas.openxmlformats.org/officeDocument/2006/relationships/image" Target="../media/image41.emf"/><Relationship Id="rId54" Type="http://schemas.openxmlformats.org/officeDocument/2006/relationships/image" Target="../media/image54.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24" Type="http://schemas.openxmlformats.org/officeDocument/2006/relationships/image" Target="../media/image24.emf"/><Relationship Id="rId32" Type="http://schemas.openxmlformats.org/officeDocument/2006/relationships/image" Target="../media/image32.emf"/><Relationship Id="rId37" Type="http://schemas.openxmlformats.org/officeDocument/2006/relationships/image" Target="../media/image37.emf"/><Relationship Id="rId40" Type="http://schemas.openxmlformats.org/officeDocument/2006/relationships/image" Target="../media/image40.emf"/><Relationship Id="rId45" Type="http://schemas.openxmlformats.org/officeDocument/2006/relationships/image" Target="../media/image45.emf"/><Relationship Id="rId53" Type="http://schemas.openxmlformats.org/officeDocument/2006/relationships/image" Target="../media/image53.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28" Type="http://schemas.openxmlformats.org/officeDocument/2006/relationships/image" Target="../media/image28.emf"/><Relationship Id="rId36" Type="http://schemas.openxmlformats.org/officeDocument/2006/relationships/image" Target="../media/image36.emf"/><Relationship Id="rId49" Type="http://schemas.openxmlformats.org/officeDocument/2006/relationships/image" Target="../media/image49.emf"/><Relationship Id="rId57" Type="http://schemas.openxmlformats.org/officeDocument/2006/relationships/image" Target="../media/image57.emf"/><Relationship Id="rId10" Type="http://schemas.openxmlformats.org/officeDocument/2006/relationships/image" Target="../media/image10.emf"/><Relationship Id="rId19" Type="http://schemas.openxmlformats.org/officeDocument/2006/relationships/image" Target="../media/image19.emf"/><Relationship Id="rId31" Type="http://schemas.openxmlformats.org/officeDocument/2006/relationships/image" Target="../media/image31.emf"/><Relationship Id="rId44" Type="http://schemas.openxmlformats.org/officeDocument/2006/relationships/image" Target="../media/image44.emf"/><Relationship Id="rId52" Type="http://schemas.openxmlformats.org/officeDocument/2006/relationships/image" Target="../media/image52.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 Id="rId35" Type="http://schemas.openxmlformats.org/officeDocument/2006/relationships/image" Target="../media/image35.emf"/><Relationship Id="rId43" Type="http://schemas.openxmlformats.org/officeDocument/2006/relationships/image" Target="../media/image43.emf"/><Relationship Id="rId48" Type="http://schemas.openxmlformats.org/officeDocument/2006/relationships/image" Target="../media/image48.emf"/><Relationship Id="rId56" Type="http://schemas.openxmlformats.org/officeDocument/2006/relationships/image" Target="../media/image56.emf"/><Relationship Id="rId8" Type="http://schemas.openxmlformats.org/officeDocument/2006/relationships/image" Target="../media/image8.emf"/><Relationship Id="rId51" Type="http://schemas.openxmlformats.org/officeDocument/2006/relationships/image" Target="../media/image51.emf"/><Relationship Id="rId3"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22</xdr:row>
          <xdr:rowOff>28575</xdr:rowOff>
        </xdr:from>
        <xdr:to>
          <xdr:col>6</xdr:col>
          <xdr:colOff>866775</xdr:colOff>
          <xdr:row>22</xdr:row>
          <xdr:rowOff>257175</xdr:rowOff>
        </xdr:to>
        <xdr:sp macro="" textlink="">
          <xdr:nvSpPr>
            <xdr:cNvPr id="1026" name="ComboBox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23</xdr:row>
          <xdr:rowOff>28575</xdr:rowOff>
        </xdr:from>
        <xdr:to>
          <xdr:col>6</xdr:col>
          <xdr:colOff>866775</xdr:colOff>
          <xdr:row>23</xdr:row>
          <xdr:rowOff>257175</xdr:rowOff>
        </xdr:to>
        <xdr:sp macro="" textlink="">
          <xdr:nvSpPr>
            <xdr:cNvPr id="1027" name="ComboBox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24</xdr:row>
          <xdr:rowOff>28575</xdr:rowOff>
        </xdr:from>
        <xdr:to>
          <xdr:col>6</xdr:col>
          <xdr:colOff>866775</xdr:colOff>
          <xdr:row>24</xdr:row>
          <xdr:rowOff>257175</xdr:rowOff>
        </xdr:to>
        <xdr:sp macro="" textlink="">
          <xdr:nvSpPr>
            <xdr:cNvPr id="1028" name="ComboBox3"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25</xdr:row>
          <xdr:rowOff>28575</xdr:rowOff>
        </xdr:from>
        <xdr:to>
          <xdr:col>6</xdr:col>
          <xdr:colOff>866775</xdr:colOff>
          <xdr:row>25</xdr:row>
          <xdr:rowOff>257175</xdr:rowOff>
        </xdr:to>
        <xdr:sp macro="" textlink="">
          <xdr:nvSpPr>
            <xdr:cNvPr id="1029" name="ComboBox4"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828675</xdr:colOff>
          <xdr:row>108</xdr:row>
          <xdr:rowOff>142875</xdr:rowOff>
        </xdr:to>
        <xdr:sp macro="" textlink="">
          <xdr:nvSpPr>
            <xdr:cNvPr id="1037" name="ComboBox1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828675</xdr:colOff>
          <xdr:row>108</xdr:row>
          <xdr:rowOff>171450</xdr:rowOff>
        </xdr:to>
        <xdr:sp macro="" textlink="">
          <xdr:nvSpPr>
            <xdr:cNvPr id="1038" name="ComboBox12"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828675</xdr:colOff>
          <xdr:row>108</xdr:row>
          <xdr:rowOff>161925</xdr:rowOff>
        </xdr:to>
        <xdr:sp macro="" textlink="">
          <xdr:nvSpPr>
            <xdr:cNvPr id="1039" name="ComboBox13"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828675</xdr:colOff>
          <xdr:row>108</xdr:row>
          <xdr:rowOff>161925</xdr:rowOff>
        </xdr:to>
        <xdr:sp macro="" textlink="">
          <xdr:nvSpPr>
            <xdr:cNvPr id="1040" name="ComboBox1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1057275</xdr:colOff>
          <xdr:row>13</xdr:row>
          <xdr:rowOff>219075</xdr:rowOff>
        </xdr:to>
        <xdr:sp macro="" textlink="">
          <xdr:nvSpPr>
            <xdr:cNvPr id="1122" name="ComboBox5"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1057275</xdr:colOff>
          <xdr:row>14</xdr:row>
          <xdr:rowOff>219075</xdr:rowOff>
        </xdr:to>
        <xdr:sp macro="" textlink="">
          <xdr:nvSpPr>
            <xdr:cNvPr id="1197" name="ComboBox6"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15</xdr:row>
          <xdr:rowOff>0</xdr:rowOff>
        </xdr:from>
        <xdr:to>
          <xdr:col>2</xdr:col>
          <xdr:colOff>1057275</xdr:colOff>
          <xdr:row>18</xdr:row>
          <xdr:rowOff>219075</xdr:rowOff>
        </xdr:to>
        <xdr:sp macro="" textlink="">
          <xdr:nvSpPr>
            <xdr:cNvPr id="1198" name="ComboBox7" hidden="1">
              <a:extLst>
                <a:ext uri="{63B3BB69-23CF-44E3-9099-C40C66FF867C}">
                  <a14:compatExt spid="_x0000_s1198"/>
                </a:ext>
                <a:ext uri="{FF2B5EF4-FFF2-40B4-BE49-F238E27FC236}">
                  <a16:creationId xmlns:a16="http://schemas.microsoft.com/office/drawing/2014/main" id="{00000000-0008-0000-0000-0000A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16</xdr:row>
          <xdr:rowOff>0</xdr:rowOff>
        </xdr:from>
        <xdr:to>
          <xdr:col>2</xdr:col>
          <xdr:colOff>1057275</xdr:colOff>
          <xdr:row>18</xdr:row>
          <xdr:rowOff>219075</xdr:rowOff>
        </xdr:to>
        <xdr:sp macro="" textlink="">
          <xdr:nvSpPr>
            <xdr:cNvPr id="1199" name="ComboBox8"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17</xdr:row>
          <xdr:rowOff>0</xdr:rowOff>
        </xdr:from>
        <xdr:to>
          <xdr:col>2</xdr:col>
          <xdr:colOff>1057275</xdr:colOff>
          <xdr:row>18</xdr:row>
          <xdr:rowOff>219075</xdr:rowOff>
        </xdr:to>
        <xdr:sp macro="" textlink="">
          <xdr:nvSpPr>
            <xdr:cNvPr id="1200" name="ComboBox9"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122</xdr:row>
          <xdr:rowOff>0</xdr:rowOff>
        </xdr:from>
        <xdr:to>
          <xdr:col>4</xdr:col>
          <xdr:colOff>771525</xdr:colOff>
          <xdr:row>122</xdr:row>
          <xdr:rowOff>190500</xdr:rowOff>
        </xdr:to>
        <xdr:sp macro="" textlink="">
          <xdr:nvSpPr>
            <xdr:cNvPr id="1206" name="Label2"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122</xdr:row>
          <xdr:rowOff>0</xdr:rowOff>
        </xdr:from>
        <xdr:to>
          <xdr:col>5</xdr:col>
          <xdr:colOff>885825</xdr:colOff>
          <xdr:row>122</xdr:row>
          <xdr:rowOff>200025</xdr:rowOff>
        </xdr:to>
        <xdr:sp macro="" textlink="">
          <xdr:nvSpPr>
            <xdr:cNvPr id="1207" name="Label3"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3</xdr:col>
          <xdr:colOff>885825</xdr:colOff>
          <xdr:row>138</xdr:row>
          <xdr:rowOff>19050</xdr:rowOff>
        </xdr:to>
        <xdr:sp macro="" textlink="">
          <xdr:nvSpPr>
            <xdr:cNvPr id="1208" name="TextBox1"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122</xdr:row>
          <xdr:rowOff>0</xdr:rowOff>
        </xdr:from>
        <xdr:to>
          <xdr:col>4</xdr:col>
          <xdr:colOff>885825</xdr:colOff>
          <xdr:row>137</xdr:row>
          <xdr:rowOff>95250</xdr:rowOff>
        </xdr:to>
        <xdr:sp macro="" textlink="">
          <xdr:nvSpPr>
            <xdr:cNvPr id="1209" name="TextBox2"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122</xdr:row>
          <xdr:rowOff>0</xdr:rowOff>
        </xdr:from>
        <xdr:to>
          <xdr:col>5</xdr:col>
          <xdr:colOff>885825</xdr:colOff>
          <xdr:row>137</xdr:row>
          <xdr:rowOff>95250</xdr:rowOff>
        </xdr:to>
        <xdr:sp macro="" textlink="">
          <xdr:nvSpPr>
            <xdr:cNvPr id="1210" name="TextBox3"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0</xdr:col>
          <xdr:colOff>676275</xdr:colOff>
          <xdr:row>134</xdr:row>
          <xdr:rowOff>28575</xdr:rowOff>
        </xdr:to>
        <xdr:sp macro="" textlink="">
          <xdr:nvSpPr>
            <xdr:cNvPr id="1213" name="CheckBox1"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704850</xdr:colOff>
          <xdr:row>126</xdr:row>
          <xdr:rowOff>171450</xdr:rowOff>
        </xdr:to>
        <xdr:sp macro="" textlink="">
          <xdr:nvSpPr>
            <xdr:cNvPr id="1214" name="Label4"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126</xdr:row>
          <xdr:rowOff>0</xdr:rowOff>
        </xdr:from>
        <xdr:to>
          <xdr:col>2</xdr:col>
          <xdr:colOff>828675</xdr:colOff>
          <xdr:row>126</xdr:row>
          <xdr:rowOff>238125</xdr:rowOff>
        </xdr:to>
        <xdr:sp macro="" textlink="">
          <xdr:nvSpPr>
            <xdr:cNvPr id="1237" name="CheckBox2" hidden="1">
              <a:extLst>
                <a:ext uri="{63B3BB69-23CF-44E3-9099-C40C66FF867C}">
                  <a14:compatExt spid="_x0000_s1237"/>
                </a:ext>
                <a:ext uri="{FF2B5EF4-FFF2-40B4-BE49-F238E27FC236}">
                  <a16:creationId xmlns:a16="http://schemas.microsoft.com/office/drawing/2014/main" id="{00000000-0008-0000-0000-0000D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3</xdr:col>
          <xdr:colOff>828675</xdr:colOff>
          <xdr:row>126</xdr:row>
          <xdr:rowOff>238125</xdr:rowOff>
        </xdr:to>
        <xdr:sp macro="" textlink="">
          <xdr:nvSpPr>
            <xdr:cNvPr id="1238" name="CheckBox3" hidden="1">
              <a:extLst>
                <a:ext uri="{63B3BB69-23CF-44E3-9099-C40C66FF867C}">
                  <a14:compatExt spid="_x0000_s1238"/>
                </a:ext>
                <a:ext uri="{FF2B5EF4-FFF2-40B4-BE49-F238E27FC236}">
                  <a16:creationId xmlns:a16="http://schemas.microsoft.com/office/drawing/2014/main" id="{00000000-0008-0000-0000-0000D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126</xdr:row>
          <xdr:rowOff>0</xdr:rowOff>
        </xdr:from>
        <xdr:to>
          <xdr:col>4</xdr:col>
          <xdr:colOff>828675</xdr:colOff>
          <xdr:row>126</xdr:row>
          <xdr:rowOff>238125</xdr:rowOff>
        </xdr:to>
        <xdr:sp macro="" textlink="">
          <xdr:nvSpPr>
            <xdr:cNvPr id="1239" name="CheckBox4" hidden="1">
              <a:extLst>
                <a:ext uri="{63B3BB69-23CF-44E3-9099-C40C66FF867C}">
                  <a14:compatExt spid="_x0000_s1239"/>
                </a:ext>
                <a:ext uri="{FF2B5EF4-FFF2-40B4-BE49-F238E27FC236}">
                  <a16:creationId xmlns:a16="http://schemas.microsoft.com/office/drawing/2014/main" id="{00000000-0008-0000-0000-0000D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3</xdr:col>
          <xdr:colOff>742950</xdr:colOff>
          <xdr:row>122</xdr:row>
          <xdr:rowOff>200025</xdr:rowOff>
        </xdr:to>
        <xdr:sp macro="" textlink="">
          <xdr:nvSpPr>
            <xdr:cNvPr id="1240" name="Label1" hidden="1">
              <a:extLst>
                <a:ext uri="{63B3BB69-23CF-44E3-9099-C40C66FF867C}">
                  <a14:compatExt spid="_x0000_s1240"/>
                </a:ext>
                <a:ext uri="{FF2B5EF4-FFF2-40B4-BE49-F238E27FC236}">
                  <a16:creationId xmlns:a16="http://schemas.microsoft.com/office/drawing/2014/main" id="{00000000-0008-0000-0000-0000D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126</xdr:row>
          <xdr:rowOff>0</xdr:rowOff>
        </xdr:from>
        <xdr:to>
          <xdr:col>2</xdr:col>
          <xdr:colOff>828675</xdr:colOff>
          <xdr:row>126</xdr:row>
          <xdr:rowOff>238125</xdr:rowOff>
        </xdr:to>
        <xdr:sp macro="" textlink="">
          <xdr:nvSpPr>
            <xdr:cNvPr id="1241" name="CheckBox5" hidden="1">
              <a:extLst>
                <a:ext uri="{63B3BB69-23CF-44E3-9099-C40C66FF867C}">
                  <a14:compatExt spid="_x0000_s1241"/>
                </a:ext>
                <a:ext uri="{FF2B5EF4-FFF2-40B4-BE49-F238E27FC236}">
                  <a16:creationId xmlns:a16="http://schemas.microsoft.com/office/drawing/2014/main" id="{00000000-0008-0000-0000-0000D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3</xdr:col>
          <xdr:colOff>828675</xdr:colOff>
          <xdr:row>126</xdr:row>
          <xdr:rowOff>238125</xdr:rowOff>
        </xdr:to>
        <xdr:sp macro="" textlink="">
          <xdr:nvSpPr>
            <xdr:cNvPr id="1242" name="CheckBox8" hidden="1">
              <a:extLst>
                <a:ext uri="{63B3BB69-23CF-44E3-9099-C40C66FF867C}">
                  <a14:compatExt spid="_x0000_s1242"/>
                </a:ext>
                <a:ext uri="{FF2B5EF4-FFF2-40B4-BE49-F238E27FC236}">
                  <a16:creationId xmlns:a16="http://schemas.microsoft.com/office/drawing/2014/main" id="{00000000-0008-0000-0000-0000D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126</xdr:row>
          <xdr:rowOff>0</xdr:rowOff>
        </xdr:from>
        <xdr:to>
          <xdr:col>4</xdr:col>
          <xdr:colOff>828675</xdr:colOff>
          <xdr:row>126</xdr:row>
          <xdr:rowOff>238125</xdr:rowOff>
        </xdr:to>
        <xdr:sp macro="" textlink="">
          <xdr:nvSpPr>
            <xdr:cNvPr id="1243" name="CheckBox9" hidden="1">
              <a:extLst>
                <a:ext uri="{63B3BB69-23CF-44E3-9099-C40C66FF867C}">
                  <a14:compatExt spid="_x0000_s1243"/>
                </a:ext>
                <a:ext uri="{FF2B5EF4-FFF2-40B4-BE49-F238E27FC236}">
                  <a16:creationId xmlns:a16="http://schemas.microsoft.com/office/drawing/2014/main" id="{00000000-0008-0000-0000-0000D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885825</xdr:colOff>
          <xdr:row>137</xdr:row>
          <xdr:rowOff>95250</xdr:rowOff>
        </xdr:to>
        <xdr:sp macro="" textlink="">
          <xdr:nvSpPr>
            <xdr:cNvPr id="1253" name="TextBox12"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54" name="Label12"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126</xdr:row>
          <xdr:rowOff>0</xdr:rowOff>
        </xdr:from>
        <xdr:to>
          <xdr:col>1</xdr:col>
          <xdr:colOff>828675</xdr:colOff>
          <xdr:row>126</xdr:row>
          <xdr:rowOff>238125</xdr:rowOff>
        </xdr:to>
        <xdr:sp macro="" textlink="">
          <xdr:nvSpPr>
            <xdr:cNvPr id="1255" name="CheckBox12"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126</xdr:row>
          <xdr:rowOff>0</xdr:rowOff>
        </xdr:from>
        <xdr:to>
          <xdr:col>1</xdr:col>
          <xdr:colOff>828675</xdr:colOff>
          <xdr:row>126</xdr:row>
          <xdr:rowOff>238125</xdr:rowOff>
        </xdr:to>
        <xdr:sp macro="" textlink="">
          <xdr:nvSpPr>
            <xdr:cNvPr id="1256" name="CheckBox13"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78" name="Label13" hidden="1">
              <a:extLst>
                <a:ext uri="{63B3BB69-23CF-44E3-9099-C40C66FF867C}">
                  <a14:compatExt spid="_x0000_s1278"/>
                </a:ext>
                <a:ext uri="{FF2B5EF4-FFF2-40B4-BE49-F238E27FC236}">
                  <a16:creationId xmlns:a16="http://schemas.microsoft.com/office/drawing/2014/main" id="{00000000-0008-0000-0000-0000F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79" name="Label14" hidden="1">
              <a:extLst>
                <a:ext uri="{63B3BB69-23CF-44E3-9099-C40C66FF867C}">
                  <a14:compatExt spid="_x0000_s1279"/>
                </a:ext>
                <a:ext uri="{FF2B5EF4-FFF2-40B4-BE49-F238E27FC236}">
                  <a16:creationId xmlns:a16="http://schemas.microsoft.com/office/drawing/2014/main" id="{00000000-0008-0000-0000-0000F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0" name="Label15" hidden="1">
              <a:extLst>
                <a:ext uri="{63B3BB69-23CF-44E3-9099-C40C66FF867C}">
                  <a14:compatExt spid="_x0000_s1280"/>
                </a:ext>
                <a:ext uri="{FF2B5EF4-FFF2-40B4-BE49-F238E27FC236}">
                  <a16:creationId xmlns:a16="http://schemas.microsoft.com/office/drawing/2014/main" id="{00000000-0008-0000-0000-00000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1" name="Label16" hidden="1">
              <a:extLst>
                <a:ext uri="{63B3BB69-23CF-44E3-9099-C40C66FF867C}">
                  <a14:compatExt spid="_x0000_s1281"/>
                </a:ext>
                <a:ext uri="{FF2B5EF4-FFF2-40B4-BE49-F238E27FC236}">
                  <a16:creationId xmlns:a16="http://schemas.microsoft.com/office/drawing/2014/main" id="{00000000-0008-0000-0000-00000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2" name="Label17" hidden="1">
              <a:extLst>
                <a:ext uri="{63B3BB69-23CF-44E3-9099-C40C66FF867C}">
                  <a14:compatExt spid="_x0000_s1282"/>
                </a:ext>
                <a:ext uri="{FF2B5EF4-FFF2-40B4-BE49-F238E27FC236}">
                  <a16:creationId xmlns:a16="http://schemas.microsoft.com/office/drawing/2014/main" id="{00000000-0008-0000-0000-00000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3" name="Label18" hidden="1">
              <a:extLst>
                <a:ext uri="{63B3BB69-23CF-44E3-9099-C40C66FF867C}">
                  <a14:compatExt spid="_x0000_s1283"/>
                </a:ext>
                <a:ext uri="{FF2B5EF4-FFF2-40B4-BE49-F238E27FC236}">
                  <a16:creationId xmlns:a16="http://schemas.microsoft.com/office/drawing/2014/main" id="{00000000-0008-0000-0000-00000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4" name="Label19" hidden="1">
              <a:extLst>
                <a:ext uri="{63B3BB69-23CF-44E3-9099-C40C66FF867C}">
                  <a14:compatExt spid="_x0000_s1284"/>
                </a:ext>
                <a:ext uri="{FF2B5EF4-FFF2-40B4-BE49-F238E27FC236}">
                  <a16:creationId xmlns:a16="http://schemas.microsoft.com/office/drawing/2014/main" id="{00000000-0008-0000-0000-00000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5" name="Label20"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6" name="Label21"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7" name="Label22"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8" name="Label23"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89" name="Label24"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90" name="Label25"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91" name="Label26"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92" name="Label27"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93" name="Label28"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94" name="Label29"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95" name="Label30"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96" name="Label31"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97" name="Label32"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676275</xdr:colOff>
          <xdr:row>122</xdr:row>
          <xdr:rowOff>238125</xdr:rowOff>
        </xdr:to>
        <xdr:sp macro="" textlink="">
          <xdr:nvSpPr>
            <xdr:cNvPr id="1298" name="Label33"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609600</xdr:rowOff>
        </xdr:from>
        <xdr:to>
          <xdr:col>6</xdr:col>
          <xdr:colOff>923925</xdr:colOff>
          <xdr:row>4</xdr:row>
          <xdr:rowOff>0</xdr:rowOff>
        </xdr:to>
        <xdr:sp macro="" textlink="">
          <xdr:nvSpPr>
            <xdr:cNvPr id="1299" name="ToggleButton1"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152970</xdr:colOff>
      <xdr:row>5</xdr:row>
      <xdr:rowOff>59885</xdr:rowOff>
    </xdr:from>
    <xdr:to>
      <xdr:col>8</xdr:col>
      <xdr:colOff>399032</xdr:colOff>
      <xdr:row>5</xdr:row>
      <xdr:rowOff>304685</xdr:rowOff>
    </xdr:to>
    <xdr:sp macro="[0]!Rechteck4_Klicken" textlink="">
      <xdr:nvSpPr>
        <xdr:cNvPr id="108" name="Rechteck 107">
          <a:extLst>
            <a:ext uri="{FF2B5EF4-FFF2-40B4-BE49-F238E27FC236}">
              <a16:creationId xmlns:a16="http://schemas.microsoft.com/office/drawing/2014/main" id="{00000000-0008-0000-0000-00006C000000}"/>
            </a:ext>
          </a:extLst>
        </xdr:cNvPr>
        <xdr:cNvSpPr/>
      </xdr:nvSpPr>
      <xdr:spPr>
        <a:xfrm>
          <a:off x="6668070" y="1602935"/>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158890</xdr:colOff>
      <xdr:row>6</xdr:row>
      <xdr:rowOff>245768</xdr:rowOff>
    </xdr:from>
    <xdr:to>
      <xdr:col>8</xdr:col>
      <xdr:colOff>404952</xdr:colOff>
      <xdr:row>7</xdr:row>
      <xdr:rowOff>244505</xdr:rowOff>
    </xdr:to>
    <xdr:sp macro="[0]!Rechteck6_Klicken" textlink="">
      <xdr:nvSpPr>
        <xdr:cNvPr id="109" name="Rechteck 108">
          <a:extLst>
            <a:ext uri="{FF2B5EF4-FFF2-40B4-BE49-F238E27FC236}">
              <a16:creationId xmlns:a16="http://schemas.microsoft.com/office/drawing/2014/main" id="{00000000-0008-0000-0000-00006D000000}"/>
            </a:ext>
          </a:extLst>
        </xdr:cNvPr>
        <xdr:cNvSpPr/>
      </xdr:nvSpPr>
      <xdr:spPr>
        <a:xfrm>
          <a:off x="6673990" y="2169818"/>
          <a:ext cx="246062" cy="246387"/>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154414</xdr:colOff>
      <xdr:row>12</xdr:row>
      <xdr:rowOff>3169</xdr:rowOff>
    </xdr:from>
    <xdr:to>
      <xdr:col>8</xdr:col>
      <xdr:colOff>400476</xdr:colOff>
      <xdr:row>13</xdr:row>
      <xdr:rowOff>1906</xdr:rowOff>
    </xdr:to>
    <xdr:sp macro="[0]!Rechteck7_Klicken" textlink="">
      <xdr:nvSpPr>
        <xdr:cNvPr id="110" name="Rechteck 109">
          <a:extLst>
            <a:ext uri="{FF2B5EF4-FFF2-40B4-BE49-F238E27FC236}">
              <a16:creationId xmlns:a16="http://schemas.microsoft.com/office/drawing/2014/main" id="{00000000-0008-0000-0000-00006E000000}"/>
            </a:ext>
          </a:extLst>
        </xdr:cNvPr>
        <xdr:cNvSpPr/>
      </xdr:nvSpPr>
      <xdr:spPr>
        <a:xfrm>
          <a:off x="6669514" y="3975094"/>
          <a:ext cx="246062" cy="246387"/>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168991</xdr:colOff>
      <xdr:row>20</xdr:row>
      <xdr:rowOff>239280</xdr:rowOff>
    </xdr:from>
    <xdr:to>
      <xdr:col>8</xdr:col>
      <xdr:colOff>415053</xdr:colOff>
      <xdr:row>21</xdr:row>
      <xdr:rowOff>238018</xdr:rowOff>
    </xdr:to>
    <xdr:sp macro="[0]!Rechteck8_Klicken" textlink="">
      <xdr:nvSpPr>
        <xdr:cNvPr id="111" name="Rechteck 110">
          <a:extLst>
            <a:ext uri="{FF2B5EF4-FFF2-40B4-BE49-F238E27FC236}">
              <a16:creationId xmlns:a16="http://schemas.microsoft.com/office/drawing/2014/main" id="{00000000-0008-0000-0000-00006F000000}"/>
            </a:ext>
          </a:extLst>
        </xdr:cNvPr>
        <xdr:cNvSpPr/>
      </xdr:nvSpPr>
      <xdr:spPr>
        <a:xfrm>
          <a:off x="6684091" y="5106555"/>
          <a:ext cx="246062" cy="246388"/>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148930</xdr:colOff>
      <xdr:row>26</xdr:row>
      <xdr:rowOff>9952</xdr:rowOff>
    </xdr:from>
    <xdr:to>
      <xdr:col>8</xdr:col>
      <xdr:colOff>394992</xdr:colOff>
      <xdr:row>27</xdr:row>
      <xdr:rowOff>3639</xdr:rowOff>
    </xdr:to>
    <xdr:sp macro="[0]!Rechteck9_Klicken" textlink="">
      <xdr:nvSpPr>
        <xdr:cNvPr id="112" name="Rechteck 111">
          <a:extLst>
            <a:ext uri="{FF2B5EF4-FFF2-40B4-BE49-F238E27FC236}">
              <a16:creationId xmlns:a16="http://schemas.microsoft.com/office/drawing/2014/main" id="{00000000-0008-0000-0000-000070000000}"/>
            </a:ext>
          </a:extLst>
        </xdr:cNvPr>
        <xdr:cNvSpPr/>
      </xdr:nvSpPr>
      <xdr:spPr>
        <a:xfrm>
          <a:off x="6747157" y="6183884"/>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208812</xdr:colOff>
      <xdr:row>36</xdr:row>
      <xdr:rowOff>84426</xdr:rowOff>
    </xdr:from>
    <xdr:to>
      <xdr:col>8</xdr:col>
      <xdr:colOff>454874</xdr:colOff>
      <xdr:row>36</xdr:row>
      <xdr:rowOff>329226</xdr:rowOff>
    </xdr:to>
    <xdr:sp macro="[0]!Rechteck10_Klicken" textlink="">
      <xdr:nvSpPr>
        <xdr:cNvPr id="114" name="Rechteck 113">
          <a:extLst>
            <a:ext uri="{FF2B5EF4-FFF2-40B4-BE49-F238E27FC236}">
              <a16:creationId xmlns:a16="http://schemas.microsoft.com/office/drawing/2014/main" id="{00000000-0008-0000-0000-000072000000}"/>
            </a:ext>
          </a:extLst>
        </xdr:cNvPr>
        <xdr:cNvSpPr/>
      </xdr:nvSpPr>
      <xdr:spPr>
        <a:xfrm>
          <a:off x="6781062" y="12553517"/>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182414</xdr:colOff>
      <xdr:row>123</xdr:row>
      <xdr:rowOff>140570</xdr:rowOff>
    </xdr:from>
    <xdr:to>
      <xdr:col>8</xdr:col>
      <xdr:colOff>428476</xdr:colOff>
      <xdr:row>123</xdr:row>
      <xdr:rowOff>385370</xdr:rowOff>
    </xdr:to>
    <xdr:sp macro="[0]!Rechteck11_Klicken" textlink="">
      <xdr:nvSpPr>
        <xdr:cNvPr id="131" name="Rechteck 130">
          <a:extLst>
            <a:ext uri="{FF2B5EF4-FFF2-40B4-BE49-F238E27FC236}">
              <a16:creationId xmlns:a16="http://schemas.microsoft.com/office/drawing/2014/main" id="{00000000-0008-0000-0000-000083000000}"/>
            </a:ext>
          </a:extLst>
        </xdr:cNvPr>
        <xdr:cNvSpPr/>
      </xdr:nvSpPr>
      <xdr:spPr>
        <a:xfrm>
          <a:off x="6697514" y="22533845"/>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156857</xdr:colOff>
      <xdr:row>54</xdr:row>
      <xdr:rowOff>119063</xdr:rowOff>
    </xdr:from>
    <xdr:to>
      <xdr:col>8</xdr:col>
      <xdr:colOff>402919</xdr:colOff>
      <xdr:row>54</xdr:row>
      <xdr:rowOff>363863</xdr:rowOff>
    </xdr:to>
    <xdr:sp macro="[0]!Rechteck10_Klicken" textlink="">
      <xdr:nvSpPr>
        <xdr:cNvPr id="132" name="Rechteck 131">
          <a:extLst>
            <a:ext uri="{FF2B5EF4-FFF2-40B4-BE49-F238E27FC236}">
              <a16:creationId xmlns:a16="http://schemas.microsoft.com/office/drawing/2014/main" id="{00000000-0008-0000-0000-000084000000}"/>
            </a:ext>
          </a:extLst>
        </xdr:cNvPr>
        <xdr:cNvSpPr/>
      </xdr:nvSpPr>
      <xdr:spPr>
        <a:xfrm>
          <a:off x="6694471" y="7912245"/>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156857</xdr:colOff>
      <xdr:row>72</xdr:row>
      <xdr:rowOff>119063</xdr:rowOff>
    </xdr:from>
    <xdr:to>
      <xdr:col>8</xdr:col>
      <xdr:colOff>402919</xdr:colOff>
      <xdr:row>72</xdr:row>
      <xdr:rowOff>363863</xdr:rowOff>
    </xdr:to>
    <xdr:sp macro="[0]!Rechteck10_Klicken" textlink="">
      <xdr:nvSpPr>
        <xdr:cNvPr id="136" name="Rechteck 135">
          <a:extLst>
            <a:ext uri="{FF2B5EF4-FFF2-40B4-BE49-F238E27FC236}">
              <a16:creationId xmlns:a16="http://schemas.microsoft.com/office/drawing/2014/main" id="{00000000-0008-0000-0000-000088000000}"/>
            </a:ext>
          </a:extLst>
        </xdr:cNvPr>
        <xdr:cNvSpPr/>
      </xdr:nvSpPr>
      <xdr:spPr>
        <a:xfrm>
          <a:off x="6694471" y="13254904"/>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156857</xdr:colOff>
      <xdr:row>89</xdr:row>
      <xdr:rowOff>119063</xdr:rowOff>
    </xdr:from>
    <xdr:to>
      <xdr:col>8</xdr:col>
      <xdr:colOff>402919</xdr:colOff>
      <xdr:row>89</xdr:row>
      <xdr:rowOff>363863</xdr:rowOff>
    </xdr:to>
    <xdr:sp macro="[0]!Rechteck10_Klicken" textlink="">
      <xdr:nvSpPr>
        <xdr:cNvPr id="140" name="Rechteck 139">
          <a:extLst>
            <a:ext uri="{FF2B5EF4-FFF2-40B4-BE49-F238E27FC236}">
              <a16:creationId xmlns:a16="http://schemas.microsoft.com/office/drawing/2014/main" id="{00000000-0008-0000-0000-00008C000000}"/>
            </a:ext>
          </a:extLst>
        </xdr:cNvPr>
        <xdr:cNvSpPr/>
      </xdr:nvSpPr>
      <xdr:spPr>
        <a:xfrm>
          <a:off x="6694471" y="13254904"/>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35</xdr:row>
          <xdr:rowOff>0</xdr:rowOff>
        </xdr:from>
        <xdr:to>
          <xdr:col>2</xdr:col>
          <xdr:colOff>504825</xdr:colOff>
          <xdr:row>35</xdr:row>
          <xdr:rowOff>219075</xdr:rowOff>
        </xdr:to>
        <xdr:sp macro="" textlink="">
          <xdr:nvSpPr>
            <xdr:cNvPr id="1300" name="CheckBox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3</xdr:col>
          <xdr:colOff>504825</xdr:colOff>
          <xdr:row>35</xdr:row>
          <xdr:rowOff>219075</xdr:rowOff>
        </xdr:to>
        <xdr:sp macro="" textlink="">
          <xdr:nvSpPr>
            <xdr:cNvPr id="1301" name="CheckBox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504825</xdr:colOff>
          <xdr:row>35</xdr:row>
          <xdr:rowOff>219075</xdr:rowOff>
        </xdr:to>
        <xdr:sp macro="" textlink="">
          <xdr:nvSpPr>
            <xdr:cNvPr id="1302" name="CheckBox10"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5</xdr:col>
          <xdr:colOff>504825</xdr:colOff>
          <xdr:row>35</xdr:row>
          <xdr:rowOff>219075</xdr:rowOff>
        </xdr:to>
        <xdr:sp macro="" textlink="">
          <xdr:nvSpPr>
            <xdr:cNvPr id="1303" name="CheckBox11"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6</xdr:col>
          <xdr:colOff>504825</xdr:colOff>
          <xdr:row>35</xdr:row>
          <xdr:rowOff>219075</xdr:rowOff>
        </xdr:to>
        <xdr:sp macro="" textlink="">
          <xdr:nvSpPr>
            <xdr:cNvPr id="1304" name="CheckBox14"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xdr:row>
          <xdr:rowOff>0</xdr:rowOff>
        </xdr:from>
        <xdr:to>
          <xdr:col>2</xdr:col>
          <xdr:colOff>495300</xdr:colOff>
          <xdr:row>35</xdr:row>
          <xdr:rowOff>228600</xdr:rowOff>
        </xdr:to>
        <xdr:sp macro="" textlink="">
          <xdr:nvSpPr>
            <xdr:cNvPr id="1307" name="CheckBox15"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3</xdr:col>
          <xdr:colOff>504825</xdr:colOff>
          <xdr:row>35</xdr:row>
          <xdr:rowOff>228600</xdr:rowOff>
        </xdr:to>
        <xdr:sp macro="" textlink="">
          <xdr:nvSpPr>
            <xdr:cNvPr id="1308" name="CheckBox16" hidden="1">
              <a:extLst>
                <a:ext uri="{63B3BB69-23CF-44E3-9099-C40C66FF867C}">
                  <a14:compatExt spid="_x0000_s1308"/>
                </a:ext>
                <a:ext uri="{FF2B5EF4-FFF2-40B4-BE49-F238E27FC236}">
                  <a16:creationId xmlns:a16="http://schemas.microsoft.com/office/drawing/2014/main" id="{00000000-0008-0000-0000-00001C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504825</xdr:colOff>
          <xdr:row>35</xdr:row>
          <xdr:rowOff>228600</xdr:rowOff>
        </xdr:to>
        <xdr:sp macro="" textlink="">
          <xdr:nvSpPr>
            <xdr:cNvPr id="1309" name="CheckBox17" hidden="1">
              <a:extLst>
                <a:ext uri="{63B3BB69-23CF-44E3-9099-C40C66FF867C}">
                  <a14:compatExt spid="_x0000_s1309"/>
                </a:ext>
                <a:ext uri="{FF2B5EF4-FFF2-40B4-BE49-F238E27FC236}">
                  <a16:creationId xmlns:a16="http://schemas.microsoft.com/office/drawing/2014/main" id="{00000000-0008-0000-0000-00001D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5</xdr:col>
          <xdr:colOff>504825</xdr:colOff>
          <xdr:row>35</xdr:row>
          <xdr:rowOff>228600</xdr:rowOff>
        </xdr:to>
        <xdr:sp macro="" textlink="">
          <xdr:nvSpPr>
            <xdr:cNvPr id="1310" name="CheckBox18" hidden="1">
              <a:extLst>
                <a:ext uri="{63B3BB69-23CF-44E3-9099-C40C66FF867C}">
                  <a14:compatExt spid="_x0000_s1310"/>
                </a:ext>
                <a:ext uri="{FF2B5EF4-FFF2-40B4-BE49-F238E27FC236}">
                  <a16:creationId xmlns:a16="http://schemas.microsoft.com/office/drawing/2014/main" id="{00000000-0008-0000-0000-00001E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6</xdr:col>
          <xdr:colOff>495300</xdr:colOff>
          <xdr:row>35</xdr:row>
          <xdr:rowOff>228600</xdr:rowOff>
        </xdr:to>
        <xdr:sp macro="" textlink="">
          <xdr:nvSpPr>
            <xdr:cNvPr id="1311" name="CheckBox19" hidden="1">
              <a:extLst>
                <a:ext uri="{63B3BB69-23CF-44E3-9099-C40C66FF867C}">
                  <a14:compatExt spid="_x0000_s1311"/>
                </a:ext>
                <a:ext uri="{FF2B5EF4-FFF2-40B4-BE49-F238E27FC236}">
                  <a16:creationId xmlns:a16="http://schemas.microsoft.com/office/drawing/2014/main" id="{00000000-0008-0000-0000-00001F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xdr:row>
          <xdr:rowOff>0</xdr:rowOff>
        </xdr:from>
        <xdr:to>
          <xdr:col>2</xdr:col>
          <xdr:colOff>495300</xdr:colOff>
          <xdr:row>35</xdr:row>
          <xdr:rowOff>228600</xdr:rowOff>
        </xdr:to>
        <xdr:sp macro="" textlink="">
          <xdr:nvSpPr>
            <xdr:cNvPr id="1312" name="CheckBox20" hidden="1">
              <a:extLst>
                <a:ext uri="{63B3BB69-23CF-44E3-9099-C40C66FF867C}">
                  <a14:compatExt spid="_x0000_s1312"/>
                </a:ext>
                <a:ext uri="{FF2B5EF4-FFF2-40B4-BE49-F238E27FC236}">
                  <a16:creationId xmlns:a16="http://schemas.microsoft.com/office/drawing/2014/main" id="{00000000-0008-0000-0000-000020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3</xdr:col>
          <xdr:colOff>504825</xdr:colOff>
          <xdr:row>35</xdr:row>
          <xdr:rowOff>228600</xdr:rowOff>
        </xdr:to>
        <xdr:sp macro="" textlink="">
          <xdr:nvSpPr>
            <xdr:cNvPr id="1313" name="CheckBox21"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504825</xdr:colOff>
          <xdr:row>35</xdr:row>
          <xdr:rowOff>228600</xdr:rowOff>
        </xdr:to>
        <xdr:sp macro="" textlink="">
          <xdr:nvSpPr>
            <xdr:cNvPr id="1314" name="CheckBox22"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5</xdr:col>
          <xdr:colOff>504825</xdr:colOff>
          <xdr:row>35</xdr:row>
          <xdr:rowOff>228600</xdr:rowOff>
        </xdr:to>
        <xdr:sp macro="" textlink="">
          <xdr:nvSpPr>
            <xdr:cNvPr id="1315" name="CheckBox23"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6</xdr:col>
          <xdr:colOff>495300</xdr:colOff>
          <xdr:row>35</xdr:row>
          <xdr:rowOff>228600</xdr:rowOff>
        </xdr:to>
        <xdr:sp macro="" textlink="">
          <xdr:nvSpPr>
            <xdr:cNvPr id="1316" name="CheckBox24"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xdr:row>
          <xdr:rowOff>0</xdr:rowOff>
        </xdr:from>
        <xdr:to>
          <xdr:col>2</xdr:col>
          <xdr:colOff>495300</xdr:colOff>
          <xdr:row>35</xdr:row>
          <xdr:rowOff>228600</xdr:rowOff>
        </xdr:to>
        <xdr:sp macro="" textlink="">
          <xdr:nvSpPr>
            <xdr:cNvPr id="1317" name="CheckBox25"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3</xdr:col>
          <xdr:colOff>504825</xdr:colOff>
          <xdr:row>35</xdr:row>
          <xdr:rowOff>228600</xdr:rowOff>
        </xdr:to>
        <xdr:sp macro="" textlink="">
          <xdr:nvSpPr>
            <xdr:cNvPr id="1318" name="CheckBox26"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504825</xdr:colOff>
          <xdr:row>35</xdr:row>
          <xdr:rowOff>228600</xdr:rowOff>
        </xdr:to>
        <xdr:sp macro="" textlink="">
          <xdr:nvSpPr>
            <xdr:cNvPr id="1319" name="CheckBox27"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5</xdr:col>
          <xdr:colOff>504825</xdr:colOff>
          <xdr:row>35</xdr:row>
          <xdr:rowOff>228600</xdr:rowOff>
        </xdr:to>
        <xdr:sp macro="" textlink="">
          <xdr:nvSpPr>
            <xdr:cNvPr id="1320" name="CheckBox28"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6</xdr:col>
          <xdr:colOff>495300</xdr:colOff>
          <xdr:row>35</xdr:row>
          <xdr:rowOff>228600</xdr:rowOff>
        </xdr:to>
        <xdr:sp macro="" textlink="">
          <xdr:nvSpPr>
            <xdr:cNvPr id="1321" name="CheckBox29"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9525</xdr:rowOff>
        </xdr:to>
        <xdr:sp macro="" textlink="">
          <xdr:nvSpPr>
            <xdr:cNvPr id="1329" name="ToggleButton2"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857250</xdr:colOff>
          <xdr:row>126</xdr:row>
          <xdr:rowOff>9525</xdr:rowOff>
        </xdr:to>
        <xdr:sp macro="" textlink="">
          <xdr:nvSpPr>
            <xdr:cNvPr id="1330" name="ToggleButton3"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857250</xdr:colOff>
          <xdr:row>126</xdr:row>
          <xdr:rowOff>9525</xdr:rowOff>
        </xdr:to>
        <xdr:sp macro="" textlink="">
          <xdr:nvSpPr>
            <xdr:cNvPr id="1331" name="ToggleButton4"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28575</xdr:rowOff>
        </xdr:to>
        <xdr:sp macro="" textlink="">
          <xdr:nvSpPr>
            <xdr:cNvPr id="1334" name="ToggleButton5" hidden="1">
              <a:extLst>
                <a:ext uri="{63B3BB69-23CF-44E3-9099-C40C66FF867C}">
                  <a14:compatExt spid="_x0000_s1334"/>
                </a:ext>
                <a:ext uri="{FF2B5EF4-FFF2-40B4-BE49-F238E27FC236}">
                  <a16:creationId xmlns:a16="http://schemas.microsoft.com/office/drawing/2014/main" id="{00000000-0008-0000-0000-00003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28575</xdr:rowOff>
        </xdr:to>
        <xdr:sp macro="" textlink="">
          <xdr:nvSpPr>
            <xdr:cNvPr id="1335" name="ToggleButton6" hidden="1">
              <a:extLst>
                <a:ext uri="{63B3BB69-23CF-44E3-9099-C40C66FF867C}">
                  <a14:compatExt spid="_x0000_s1335"/>
                </a:ext>
                <a:ext uri="{FF2B5EF4-FFF2-40B4-BE49-F238E27FC236}">
                  <a16:creationId xmlns:a16="http://schemas.microsoft.com/office/drawing/2014/main" id="{00000000-0008-0000-0000-00003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28575</xdr:rowOff>
        </xdr:to>
        <xdr:sp macro="" textlink="">
          <xdr:nvSpPr>
            <xdr:cNvPr id="1336" name="ToggleButton7" hidden="1">
              <a:extLst>
                <a:ext uri="{63B3BB69-23CF-44E3-9099-C40C66FF867C}">
                  <a14:compatExt spid="_x0000_s1336"/>
                </a:ext>
                <a:ext uri="{FF2B5EF4-FFF2-40B4-BE49-F238E27FC236}">
                  <a16:creationId xmlns:a16="http://schemas.microsoft.com/office/drawing/2014/main" id="{00000000-0008-0000-0000-00003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28575</xdr:rowOff>
        </xdr:to>
        <xdr:sp macro="" textlink="">
          <xdr:nvSpPr>
            <xdr:cNvPr id="1337" name="ToggleButton8" hidden="1">
              <a:extLst>
                <a:ext uri="{63B3BB69-23CF-44E3-9099-C40C66FF867C}">
                  <a14:compatExt spid="_x0000_s1337"/>
                </a:ext>
                <a:ext uri="{FF2B5EF4-FFF2-40B4-BE49-F238E27FC236}">
                  <a16:creationId xmlns:a16="http://schemas.microsoft.com/office/drawing/2014/main" id="{00000000-0008-0000-0000-00003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28575</xdr:rowOff>
        </xdr:to>
        <xdr:sp macro="" textlink="">
          <xdr:nvSpPr>
            <xdr:cNvPr id="1338" name="ToggleButton9" hidden="1">
              <a:extLst>
                <a:ext uri="{63B3BB69-23CF-44E3-9099-C40C66FF867C}">
                  <a14:compatExt spid="_x0000_s1338"/>
                </a:ext>
                <a:ext uri="{FF2B5EF4-FFF2-40B4-BE49-F238E27FC236}">
                  <a16:creationId xmlns:a16="http://schemas.microsoft.com/office/drawing/2014/main" id="{00000000-0008-0000-0000-00003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28575</xdr:rowOff>
        </xdr:to>
        <xdr:sp macro="" textlink="">
          <xdr:nvSpPr>
            <xdr:cNvPr id="1339" name="ToggleButton10" hidden="1">
              <a:extLst>
                <a:ext uri="{63B3BB69-23CF-44E3-9099-C40C66FF867C}">
                  <a14:compatExt spid="_x0000_s1339"/>
                </a:ext>
                <a:ext uri="{FF2B5EF4-FFF2-40B4-BE49-F238E27FC236}">
                  <a16:creationId xmlns:a16="http://schemas.microsoft.com/office/drawing/2014/main" id="{00000000-0008-0000-0000-00003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28575</xdr:rowOff>
        </xdr:to>
        <xdr:sp macro="" textlink="">
          <xdr:nvSpPr>
            <xdr:cNvPr id="1340" name="ToggleButton11" hidden="1">
              <a:extLst>
                <a:ext uri="{63B3BB69-23CF-44E3-9099-C40C66FF867C}">
                  <a14:compatExt spid="_x0000_s1340"/>
                </a:ext>
                <a:ext uri="{FF2B5EF4-FFF2-40B4-BE49-F238E27FC236}">
                  <a16:creationId xmlns:a16="http://schemas.microsoft.com/office/drawing/2014/main" id="{00000000-0008-0000-0000-00003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28575</xdr:rowOff>
        </xdr:to>
        <xdr:sp macro="" textlink="">
          <xdr:nvSpPr>
            <xdr:cNvPr id="1341" name="ToggleButton12" hidden="1">
              <a:extLst>
                <a:ext uri="{63B3BB69-23CF-44E3-9099-C40C66FF867C}">
                  <a14:compatExt spid="_x0000_s1341"/>
                </a:ext>
                <a:ext uri="{FF2B5EF4-FFF2-40B4-BE49-F238E27FC236}">
                  <a16:creationId xmlns:a16="http://schemas.microsoft.com/office/drawing/2014/main" id="{00000000-0008-0000-0000-00003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108</xdr:row>
          <xdr:rowOff>0</xdr:rowOff>
        </xdr:from>
        <xdr:to>
          <xdr:col>1</xdr:col>
          <xdr:colOff>866775</xdr:colOff>
          <xdr:row>126</xdr:row>
          <xdr:rowOff>28575</xdr:rowOff>
        </xdr:to>
        <xdr:sp macro="" textlink="">
          <xdr:nvSpPr>
            <xdr:cNvPr id="1342" name="ToggleButton13" hidden="1">
              <a:extLst>
                <a:ext uri="{63B3BB69-23CF-44E3-9099-C40C66FF867C}">
                  <a14:compatExt spid="_x0000_s1342"/>
                </a:ext>
                <a:ext uri="{FF2B5EF4-FFF2-40B4-BE49-F238E27FC236}">
                  <a16:creationId xmlns:a16="http://schemas.microsoft.com/office/drawing/2014/main" id="{00000000-0008-0000-0000-00003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157157</xdr:colOff>
      <xdr:row>41</xdr:row>
      <xdr:rowOff>77782</xdr:rowOff>
    </xdr:from>
    <xdr:to>
      <xdr:col>8</xdr:col>
      <xdr:colOff>403219</xdr:colOff>
      <xdr:row>41</xdr:row>
      <xdr:rowOff>322582</xdr:rowOff>
    </xdr:to>
    <xdr:sp macro="[0]!Rechteck1_Klicken" textlink="">
      <xdr:nvSpPr>
        <xdr:cNvPr id="100" name="Rechteck 99">
          <a:extLst>
            <a:ext uri="{FF2B5EF4-FFF2-40B4-BE49-F238E27FC236}">
              <a16:creationId xmlns:a16="http://schemas.microsoft.com/office/drawing/2014/main" id="{00000000-0008-0000-0000-000064000000}"/>
            </a:ext>
          </a:extLst>
        </xdr:cNvPr>
        <xdr:cNvSpPr/>
      </xdr:nvSpPr>
      <xdr:spPr>
        <a:xfrm>
          <a:off x="6672257" y="8831257"/>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158755</xdr:colOff>
      <xdr:row>43</xdr:row>
      <xdr:rowOff>82554</xdr:rowOff>
    </xdr:from>
    <xdr:to>
      <xdr:col>8</xdr:col>
      <xdr:colOff>404817</xdr:colOff>
      <xdr:row>43</xdr:row>
      <xdr:rowOff>327354</xdr:rowOff>
    </xdr:to>
    <xdr:sp macro="" textlink="">
      <xdr:nvSpPr>
        <xdr:cNvPr id="101" name="Rechteck 100">
          <a:extLst>
            <a:ext uri="{FF2B5EF4-FFF2-40B4-BE49-F238E27FC236}">
              <a16:creationId xmlns:a16="http://schemas.microsoft.com/office/drawing/2014/main" id="{00000000-0008-0000-0000-000065000000}"/>
            </a:ext>
          </a:extLst>
        </xdr:cNvPr>
        <xdr:cNvSpPr/>
      </xdr:nvSpPr>
      <xdr:spPr>
        <a:xfrm>
          <a:off x="6673855" y="9274179"/>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158755</xdr:colOff>
      <xdr:row>43</xdr:row>
      <xdr:rowOff>82554</xdr:rowOff>
    </xdr:from>
    <xdr:to>
      <xdr:col>8</xdr:col>
      <xdr:colOff>404817</xdr:colOff>
      <xdr:row>43</xdr:row>
      <xdr:rowOff>327354</xdr:rowOff>
    </xdr:to>
    <xdr:sp macro="[0]!Rechteck3_Klicken" textlink="">
      <xdr:nvSpPr>
        <xdr:cNvPr id="102" name="Rechteck 101">
          <a:extLst>
            <a:ext uri="{FF2B5EF4-FFF2-40B4-BE49-F238E27FC236}">
              <a16:creationId xmlns:a16="http://schemas.microsoft.com/office/drawing/2014/main" id="{00000000-0008-0000-0000-000066000000}"/>
            </a:ext>
          </a:extLst>
        </xdr:cNvPr>
        <xdr:cNvSpPr/>
      </xdr:nvSpPr>
      <xdr:spPr>
        <a:xfrm>
          <a:off x="6673855" y="9274179"/>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165096</xdr:colOff>
      <xdr:row>47</xdr:row>
      <xdr:rowOff>46044</xdr:rowOff>
    </xdr:from>
    <xdr:to>
      <xdr:col>8</xdr:col>
      <xdr:colOff>411158</xdr:colOff>
      <xdr:row>47</xdr:row>
      <xdr:rowOff>290844</xdr:rowOff>
    </xdr:to>
    <xdr:sp macro="[0]!Rechteck2_Klicken" textlink="">
      <xdr:nvSpPr>
        <xdr:cNvPr id="103" name="Rechteck 102">
          <a:extLst>
            <a:ext uri="{FF2B5EF4-FFF2-40B4-BE49-F238E27FC236}">
              <a16:creationId xmlns:a16="http://schemas.microsoft.com/office/drawing/2014/main" id="{00000000-0008-0000-0000-000067000000}"/>
            </a:ext>
          </a:extLst>
        </xdr:cNvPr>
        <xdr:cNvSpPr/>
      </xdr:nvSpPr>
      <xdr:spPr>
        <a:xfrm>
          <a:off x="6680196" y="10923594"/>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157157</xdr:colOff>
      <xdr:row>59</xdr:row>
      <xdr:rowOff>77782</xdr:rowOff>
    </xdr:from>
    <xdr:to>
      <xdr:col>8</xdr:col>
      <xdr:colOff>403219</xdr:colOff>
      <xdr:row>59</xdr:row>
      <xdr:rowOff>322582</xdr:rowOff>
    </xdr:to>
    <xdr:sp macro="[0]!Rechteck1_Klicken" textlink="">
      <xdr:nvSpPr>
        <xdr:cNvPr id="104" name="Rechteck 103">
          <a:extLst>
            <a:ext uri="{FF2B5EF4-FFF2-40B4-BE49-F238E27FC236}">
              <a16:creationId xmlns:a16="http://schemas.microsoft.com/office/drawing/2014/main" id="{00000000-0008-0000-0000-000068000000}"/>
            </a:ext>
          </a:extLst>
        </xdr:cNvPr>
        <xdr:cNvSpPr/>
      </xdr:nvSpPr>
      <xdr:spPr>
        <a:xfrm>
          <a:off x="6902589" y="15300464"/>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158755</xdr:colOff>
      <xdr:row>61</xdr:row>
      <xdr:rowOff>82554</xdr:rowOff>
    </xdr:from>
    <xdr:to>
      <xdr:col>8</xdr:col>
      <xdr:colOff>404817</xdr:colOff>
      <xdr:row>61</xdr:row>
      <xdr:rowOff>327354</xdr:rowOff>
    </xdr:to>
    <xdr:sp macro="" textlink="">
      <xdr:nvSpPr>
        <xdr:cNvPr id="105" name="Rechteck 104">
          <a:extLst>
            <a:ext uri="{FF2B5EF4-FFF2-40B4-BE49-F238E27FC236}">
              <a16:creationId xmlns:a16="http://schemas.microsoft.com/office/drawing/2014/main" id="{00000000-0008-0000-0000-000069000000}"/>
            </a:ext>
          </a:extLst>
        </xdr:cNvPr>
        <xdr:cNvSpPr/>
      </xdr:nvSpPr>
      <xdr:spPr>
        <a:xfrm>
          <a:off x="6904187" y="15876736"/>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158755</xdr:colOff>
      <xdr:row>61</xdr:row>
      <xdr:rowOff>82554</xdr:rowOff>
    </xdr:from>
    <xdr:to>
      <xdr:col>8</xdr:col>
      <xdr:colOff>404817</xdr:colOff>
      <xdr:row>61</xdr:row>
      <xdr:rowOff>327354</xdr:rowOff>
    </xdr:to>
    <xdr:sp macro="[0]!Rechteck3_Klicken" textlink="">
      <xdr:nvSpPr>
        <xdr:cNvPr id="106" name="Rechteck 105">
          <a:extLst>
            <a:ext uri="{FF2B5EF4-FFF2-40B4-BE49-F238E27FC236}">
              <a16:creationId xmlns:a16="http://schemas.microsoft.com/office/drawing/2014/main" id="{00000000-0008-0000-0000-00006A000000}"/>
            </a:ext>
          </a:extLst>
        </xdr:cNvPr>
        <xdr:cNvSpPr/>
      </xdr:nvSpPr>
      <xdr:spPr>
        <a:xfrm>
          <a:off x="6904187" y="15876736"/>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165096</xdr:colOff>
      <xdr:row>65</xdr:row>
      <xdr:rowOff>46044</xdr:rowOff>
    </xdr:from>
    <xdr:to>
      <xdr:col>8</xdr:col>
      <xdr:colOff>411158</xdr:colOff>
      <xdr:row>65</xdr:row>
      <xdr:rowOff>290844</xdr:rowOff>
    </xdr:to>
    <xdr:sp macro="[0]!Rechteck2_Klicken" textlink="">
      <xdr:nvSpPr>
        <xdr:cNvPr id="107" name="Rechteck 106">
          <a:extLst>
            <a:ext uri="{FF2B5EF4-FFF2-40B4-BE49-F238E27FC236}">
              <a16:creationId xmlns:a16="http://schemas.microsoft.com/office/drawing/2014/main" id="{00000000-0008-0000-0000-00006B000000}"/>
            </a:ext>
          </a:extLst>
        </xdr:cNvPr>
        <xdr:cNvSpPr/>
      </xdr:nvSpPr>
      <xdr:spPr>
        <a:xfrm>
          <a:off x="6910528" y="16983226"/>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157157</xdr:colOff>
      <xdr:row>77</xdr:row>
      <xdr:rowOff>77782</xdr:rowOff>
    </xdr:from>
    <xdr:to>
      <xdr:col>8</xdr:col>
      <xdr:colOff>403219</xdr:colOff>
      <xdr:row>77</xdr:row>
      <xdr:rowOff>322582</xdr:rowOff>
    </xdr:to>
    <xdr:sp macro="[0]!Rechteck1_Klicken" textlink="">
      <xdr:nvSpPr>
        <xdr:cNvPr id="113" name="Rechteck 112">
          <a:extLst>
            <a:ext uri="{FF2B5EF4-FFF2-40B4-BE49-F238E27FC236}">
              <a16:creationId xmlns:a16="http://schemas.microsoft.com/office/drawing/2014/main" id="{00000000-0008-0000-0000-000071000000}"/>
            </a:ext>
          </a:extLst>
        </xdr:cNvPr>
        <xdr:cNvSpPr/>
      </xdr:nvSpPr>
      <xdr:spPr>
        <a:xfrm>
          <a:off x="6902589" y="15300464"/>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158755</xdr:colOff>
      <xdr:row>79</xdr:row>
      <xdr:rowOff>82554</xdr:rowOff>
    </xdr:from>
    <xdr:to>
      <xdr:col>8</xdr:col>
      <xdr:colOff>404817</xdr:colOff>
      <xdr:row>79</xdr:row>
      <xdr:rowOff>327354</xdr:rowOff>
    </xdr:to>
    <xdr:sp macro="" textlink="">
      <xdr:nvSpPr>
        <xdr:cNvPr id="115" name="Rechteck 114">
          <a:extLst>
            <a:ext uri="{FF2B5EF4-FFF2-40B4-BE49-F238E27FC236}">
              <a16:creationId xmlns:a16="http://schemas.microsoft.com/office/drawing/2014/main" id="{00000000-0008-0000-0000-000073000000}"/>
            </a:ext>
          </a:extLst>
        </xdr:cNvPr>
        <xdr:cNvSpPr/>
      </xdr:nvSpPr>
      <xdr:spPr>
        <a:xfrm>
          <a:off x="6904187" y="15876736"/>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158755</xdr:colOff>
      <xdr:row>79</xdr:row>
      <xdr:rowOff>82554</xdr:rowOff>
    </xdr:from>
    <xdr:to>
      <xdr:col>8</xdr:col>
      <xdr:colOff>404817</xdr:colOff>
      <xdr:row>79</xdr:row>
      <xdr:rowOff>327354</xdr:rowOff>
    </xdr:to>
    <xdr:sp macro="[0]!Rechteck3_Klicken" textlink="">
      <xdr:nvSpPr>
        <xdr:cNvPr id="116" name="Rechteck 115">
          <a:extLst>
            <a:ext uri="{FF2B5EF4-FFF2-40B4-BE49-F238E27FC236}">
              <a16:creationId xmlns:a16="http://schemas.microsoft.com/office/drawing/2014/main" id="{00000000-0008-0000-0000-000074000000}"/>
            </a:ext>
          </a:extLst>
        </xdr:cNvPr>
        <xdr:cNvSpPr/>
      </xdr:nvSpPr>
      <xdr:spPr>
        <a:xfrm>
          <a:off x="6904187" y="15876736"/>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165096</xdr:colOff>
      <xdr:row>83</xdr:row>
      <xdr:rowOff>46044</xdr:rowOff>
    </xdr:from>
    <xdr:to>
      <xdr:col>8</xdr:col>
      <xdr:colOff>411158</xdr:colOff>
      <xdr:row>83</xdr:row>
      <xdr:rowOff>290844</xdr:rowOff>
    </xdr:to>
    <xdr:sp macro="[0]!Rechteck2_Klicken" textlink="">
      <xdr:nvSpPr>
        <xdr:cNvPr id="117" name="Rechteck 116">
          <a:extLst>
            <a:ext uri="{FF2B5EF4-FFF2-40B4-BE49-F238E27FC236}">
              <a16:creationId xmlns:a16="http://schemas.microsoft.com/office/drawing/2014/main" id="{00000000-0008-0000-0000-000075000000}"/>
            </a:ext>
          </a:extLst>
        </xdr:cNvPr>
        <xdr:cNvSpPr/>
      </xdr:nvSpPr>
      <xdr:spPr>
        <a:xfrm>
          <a:off x="6910528" y="16983226"/>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157157</xdr:colOff>
      <xdr:row>95</xdr:row>
      <xdr:rowOff>77782</xdr:rowOff>
    </xdr:from>
    <xdr:to>
      <xdr:col>8</xdr:col>
      <xdr:colOff>403219</xdr:colOff>
      <xdr:row>95</xdr:row>
      <xdr:rowOff>322582</xdr:rowOff>
    </xdr:to>
    <xdr:sp macro="[0]!Rechteck1_Klicken" textlink="">
      <xdr:nvSpPr>
        <xdr:cNvPr id="118" name="Rechteck 117">
          <a:extLst>
            <a:ext uri="{FF2B5EF4-FFF2-40B4-BE49-F238E27FC236}">
              <a16:creationId xmlns:a16="http://schemas.microsoft.com/office/drawing/2014/main" id="{00000000-0008-0000-0000-000076000000}"/>
            </a:ext>
          </a:extLst>
        </xdr:cNvPr>
        <xdr:cNvSpPr/>
      </xdr:nvSpPr>
      <xdr:spPr>
        <a:xfrm>
          <a:off x="6902589" y="15300464"/>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158755</xdr:colOff>
      <xdr:row>97</xdr:row>
      <xdr:rowOff>82554</xdr:rowOff>
    </xdr:from>
    <xdr:to>
      <xdr:col>8</xdr:col>
      <xdr:colOff>404817</xdr:colOff>
      <xdr:row>97</xdr:row>
      <xdr:rowOff>327354</xdr:rowOff>
    </xdr:to>
    <xdr:sp macro="" textlink="">
      <xdr:nvSpPr>
        <xdr:cNvPr id="119" name="Rechteck 118">
          <a:extLst>
            <a:ext uri="{FF2B5EF4-FFF2-40B4-BE49-F238E27FC236}">
              <a16:creationId xmlns:a16="http://schemas.microsoft.com/office/drawing/2014/main" id="{00000000-0008-0000-0000-000077000000}"/>
            </a:ext>
          </a:extLst>
        </xdr:cNvPr>
        <xdr:cNvSpPr/>
      </xdr:nvSpPr>
      <xdr:spPr>
        <a:xfrm>
          <a:off x="6904187" y="15876736"/>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158755</xdr:colOff>
      <xdr:row>97</xdr:row>
      <xdr:rowOff>82554</xdr:rowOff>
    </xdr:from>
    <xdr:to>
      <xdr:col>8</xdr:col>
      <xdr:colOff>404817</xdr:colOff>
      <xdr:row>97</xdr:row>
      <xdr:rowOff>327354</xdr:rowOff>
    </xdr:to>
    <xdr:sp macro="[0]!Rechteck3_Klicken" textlink="">
      <xdr:nvSpPr>
        <xdr:cNvPr id="120" name="Rechteck 119">
          <a:extLst>
            <a:ext uri="{FF2B5EF4-FFF2-40B4-BE49-F238E27FC236}">
              <a16:creationId xmlns:a16="http://schemas.microsoft.com/office/drawing/2014/main" id="{00000000-0008-0000-0000-000078000000}"/>
            </a:ext>
          </a:extLst>
        </xdr:cNvPr>
        <xdr:cNvSpPr/>
      </xdr:nvSpPr>
      <xdr:spPr>
        <a:xfrm>
          <a:off x="6904187" y="15876736"/>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165096</xdr:colOff>
      <xdr:row>101</xdr:row>
      <xdr:rowOff>46044</xdr:rowOff>
    </xdr:from>
    <xdr:to>
      <xdr:col>8</xdr:col>
      <xdr:colOff>411158</xdr:colOff>
      <xdr:row>101</xdr:row>
      <xdr:rowOff>290844</xdr:rowOff>
    </xdr:to>
    <xdr:sp macro="[0]!Rechteck2_Klicken" textlink="">
      <xdr:nvSpPr>
        <xdr:cNvPr id="121" name="Rechteck 120">
          <a:extLst>
            <a:ext uri="{FF2B5EF4-FFF2-40B4-BE49-F238E27FC236}">
              <a16:creationId xmlns:a16="http://schemas.microsoft.com/office/drawing/2014/main" id="{00000000-0008-0000-0000-000079000000}"/>
            </a:ext>
          </a:extLst>
        </xdr:cNvPr>
        <xdr:cNvSpPr/>
      </xdr:nvSpPr>
      <xdr:spPr>
        <a:xfrm>
          <a:off x="6910528" y="16983226"/>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151962</xdr:colOff>
      <xdr:row>40</xdr:row>
      <xdr:rowOff>111553</xdr:rowOff>
    </xdr:from>
    <xdr:to>
      <xdr:col>8</xdr:col>
      <xdr:colOff>398024</xdr:colOff>
      <xdr:row>40</xdr:row>
      <xdr:rowOff>356353</xdr:rowOff>
    </xdr:to>
    <xdr:sp macro="[0]!Rechteck5_Klicken" textlink="">
      <xdr:nvSpPr>
        <xdr:cNvPr id="122" name="Rechteck 121">
          <a:extLst>
            <a:ext uri="{FF2B5EF4-FFF2-40B4-BE49-F238E27FC236}">
              <a16:creationId xmlns:a16="http://schemas.microsoft.com/office/drawing/2014/main" id="{00000000-0008-0000-0000-00007A000000}"/>
            </a:ext>
          </a:extLst>
        </xdr:cNvPr>
        <xdr:cNvSpPr/>
      </xdr:nvSpPr>
      <xdr:spPr>
        <a:xfrm>
          <a:off x="6886137" y="43821778"/>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151962</xdr:colOff>
      <xdr:row>58</xdr:row>
      <xdr:rowOff>111553</xdr:rowOff>
    </xdr:from>
    <xdr:to>
      <xdr:col>8</xdr:col>
      <xdr:colOff>398024</xdr:colOff>
      <xdr:row>58</xdr:row>
      <xdr:rowOff>356353</xdr:rowOff>
    </xdr:to>
    <xdr:sp macro="[0]!Rechteck5_Klicken" textlink="">
      <xdr:nvSpPr>
        <xdr:cNvPr id="123" name="Rechteck 122">
          <a:extLst>
            <a:ext uri="{FF2B5EF4-FFF2-40B4-BE49-F238E27FC236}">
              <a16:creationId xmlns:a16="http://schemas.microsoft.com/office/drawing/2014/main" id="{00000000-0008-0000-0000-00007B000000}"/>
            </a:ext>
          </a:extLst>
        </xdr:cNvPr>
        <xdr:cNvSpPr/>
      </xdr:nvSpPr>
      <xdr:spPr>
        <a:xfrm>
          <a:off x="6897394" y="14762735"/>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151962</xdr:colOff>
      <xdr:row>76</xdr:row>
      <xdr:rowOff>111553</xdr:rowOff>
    </xdr:from>
    <xdr:to>
      <xdr:col>8</xdr:col>
      <xdr:colOff>398024</xdr:colOff>
      <xdr:row>76</xdr:row>
      <xdr:rowOff>356353</xdr:rowOff>
    </xdr:to>
    <xdr:sp macro="[0]!Rechteck5_Klicken" textlink="">
      <xdr:nvSpPr>
        <xdr:cNvPr id="124" name="Rechteck 123">
          <a:extLst>
            <a:ext uri="{FF2B5EF4-FFF2-40B4-BE49-F238E27FC236}">
              <a16:creationId xmlns:a16="http://schemas.microsoft.com/office/drawing/2014/main" id="{00000000-0008-0000-0000-00007C000000}"/>
            </a:ext>
          </a:extLst>
        </xdr:cNvPr>
        <xdr:cNvSpPr/>
      </xdr:nvSpPr>
      <xdr:spPr>
        <a:xfrm>
          <a:off x="6897394" y="14762735"/>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twoCellAnchor>
    <xdr:from>
      <xdr:col>8</xdr:col>
      <xdr:colOff>151962</xdr:colOff>
      <xdr:row>94</xdr:row>
      <xdr:rowOff>111553</xdr:rowOff>
    </xdr:from>
    <xdr:to>
      <xdr:col>8</xdr:col>
      <xdr:colOff>398024</xdr:colOff>
      <xdr:row>94</xdr:row>
      <xdr:rowOff>356353</xdr:rowOff>
    </xdr:to>
    <xdr:sp macro="[0]!Rechteck5_Klicken" textlink="">
      <xdr:nvSpPr>
        <xdr:cNvPr id="125" name="Rechteck 124">
          <a:extLst>
            <a:ext uri="{FF2B5EF4-FFF2-40B4-BE49-F238E27FC236}">
              <a16:creationId xmlns:a16="http://schemas.microsoft.com/office/drawing/2014/main" id="{00000000-0008-0000-0000-00007D000000}"/>
            </a:ext>
          </a:extLst>
        </xdr:cNvPr>
        <xdr:cNvSpPr/>
      </xdr:nvSpPr>
      <xdr:spPr>
        <a:xfrm>
          <a:off x="6897394" y="14762735"/>
          <a:ext cx="246062" cy="244800"/>
        </a:xfrm>
        <a:prstGeom prst="rect">
          <a:avLst/>
        </a:prstGeom>
        <a:solidFill>
          <a:srgbClr val="FFFFB7"/>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t>
          </a: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6.xml"/><Relationship Id="rId117" Type="http://schemas.openxmlformats.org/officeDocument/2006/relationships/control" Target="../activeX/activeX72.xml"/><Relationship Id="rId21" Type="http://schemas.openxmlformats.org/officeDocument/2006/relationships/control" Target="../activeX/activeX13.xml"/><Relationship Id="rId42" Type="http://schemas.openxmlformats.org/officeDocument/2006/relationships/control" Target="../activeX/activeX24.xml"/><Relationship Id="rId47" Type="http://schemas.openxmlformats.org/officeDocument/2006/relationships/image" Target="../media/image19.emf"/><Relationship Id="rId63" Type="http://schemas.openxmlformats.org/officeDocument/2006/relationships/control" Target="../activeX/activeX37.xml"/><Relationship Id="rId68" Type="http://schemas.openxmlformats.org/officeDocument/2006/relationships/control" Target="../activeX/activeX42.xml"/><Relationship Id="rId84" Type="http://schemas.openxmlformats.org/officeDocument/2006/relationships/image" Target="../media/image27.emf"/><Relationship Id="rId89" Type="http://schemas.openxmlformats.org/officeDocument/2006/relationships/control" Target="../activeX/activeX58.xml"/><Relationship Id="rId112" Type="http://schemas.openxmlformats.org/officeDocument/2006/relationships/image" Target="../media/image41.emf"/><Relationship Id="rId133" Type="http://schemas.openxmlformats.org/officeDocument/2006/relationships/control" Target="../activeX/activeX80.xml"/><Relationship Id="rId138" Type="http://schemas.openxmlformats.org/officeDocument/2006/relationships/image" Target="../media/image54.emf"/><Relationship Id="rId16" Type="http://schemas.openxmlformats.org/officeDocument/2006/relationships/image" Target="../media/image5.emf"/><Relationship Id="rId107" Type="http://schemas.openxmlformats.org/officeDocument/2006/relationships/control" Target="../activeX/activeX67.xml"/><Relationship Id="rId11" Type="http://schemas.openxmlformats.org/officeDocument/2006/relationships/image" Target="../media/image3.emf"/><Relationship Id="rId32" Type="http://schemas.openxmlformats.org/officeDocument/2006/relationships/control" Target="../activeX/activeX19.xml"/><Relationship Id="rId37" Type="http://schemas.openxmlformats.org/officeDocument/2006/relationships/image" Target="../media/image14.emf"/><Relationship Id="rId53" Type="http://schemas.openxmlformats.org/officeDocument/2006/relationships/image" Target="../media/image22.emf"/><Relationship Id="rId58" Type="http://schemas.openxmlformats.org/officeDocument/2006/relationships/control" Target="../activeX/activeX32.xml"/><Relationship Id="rId74" Type="http://schemas.openxmlformats.org/officeDocument/2006/relationships/control" Target="../activeX/activeX48.xml"/><Relationship Id="rId79" Type="http://schemas.openxmlformats.org/officeDocument/2006/relationships/control" Target="../activeX/activeX53.xml"/><Relationship Id="rId102" Type="http://schemas.openxmlformats.org/officeDocument/2006/relationships/image" Target="../media/image36.emf"/><Relationship Id="rId123" Type="http://schemas.openxmlformats.org/officeDocument/2006/relationships/control" Target="../activeX/activeX75.xml"/><Relationship Id="rId128" Type="http://schemas.openxmlformats.org/officeDocument/2006/relationships/image" Target="../media/image49.emf"/><Relationship Id="rId144" Type="http://schemas.openxmlformats.org/officeDocument/2006/relationships/image" Target="../media/image57.emf"/><Relationship Id="rId5" Type="http://schemas.openxmlformats.org/officeDocument/2006/relationships/control" Target="../activeX/activeX2.xml"/><Relationship Id="rId90" Type="http://schemas.openxmlformats.org/officeDocument/2006/relationships/image" Target="../media/image30.emf"/><Relationship Id="rId95" Type="http://schemas.openxmlformats.org/officeDocument/2006/relationships/control" Target="../activeX/activeX61.xml"/><Relationship Id="rId22" Type="http://schemas.openxmlformats.org/officeDocument/2006/relationships/control" Target="../activeX/activeX14.xml"/><Relationship Id="rId27" Type="http://schemas.openxmlformats.org/officeDocument/2006/relationships/image" Target="../media/image9.emf"/><Relationship Id="rId43" Type="http://schemas.openxmlformats.org/officeDocument/2006/relationships/image" Target="../media/image17.emf"/><Relationship Id="rId48" Type="http://schemas.openxmlformats.org/officeDocument/2006/relationships/control" Target="../activeX/activeX27.xml"/><Relationship Id="rId64" Type="http://schemas.openxmlformats.org/officeDocument/2006/relationships/control" Target="../activeX/activeX38.xml"/><Relationship Id="rId69" Type="http://schemas.openxmlformats.org/officeDocument/2006/relationships/control" Target="../activeX/activeX43.xml"/><Relationship Id="rId113" Type="http://schemas.openxmlformats.org/officeDocument/2006/relationships/control" Target="../activeX/activeX70.xml"/><Relationship Id="rId118" Type="http://schemas.openxmlformats.org/officeDocument/2006/relationships/image" Target="../media/image44.emf"/><Relationship Id="rId134" Type="http://schemas.openxmlformats.org/officeDocument/2006/relationships/image" Target="../media/image52.emf"/><Relationship Id="rId139" Type="http://schemas.openxmlformats.org/officeDocument/2006/relationships/control" Target="../activeX/activeX83.xml"/><Relationship Id="rId8" Type="http://schemas.openxmlformats.org/officeDocument/2006/relationships/control" Target="../activeX/activeX5.xml"/><Relationship Id="rId51" Type="http://schemas.openxmlformats.org/officeDocument/2006/relationships/image" Target="../media/image21.emf"/><Relationship Id="rId72" Type="http://schemas.openxmlformats.org/officeDocument/2006/relationships/control" Target="../activeX/activeX46.xml"/><Relationship Id="rId80" Type="http://schemas.openxmlformats.org/officeDocument/2006/relationships/image" Target="../media/image25.emf"/><Relationship Id="rId85" Type="http://schemas.openxmlformats.org/officeDocument/2006/relationships/control" Target="../activeX/activeX56.xml"/><Relationship Id="rId93" Type="http://schemas.openxmlformats.org/officeDocument/2006/relationships/control" Target="../activeX/activeX60.xml"/><Relationship Id="rId98" Type="http://schemas.openxmlformats.org/officeDocument/2006/relationships/image" Target="../media/image34.emf"/><Relationship Id="rId121" Type="http://schemas.openxmlformats.org/officeDocument/2006/relationships/control" Target="../activeX/activeX74.xml"/><Relationship Id="rId142" Type="http://schemas.openxmlformats.org/officeDocument/2006/relationships/image" Target="../media/image56.emf"/><Relationship Id="rId3" Type="http://schemas.openxmlformats.org/officeDocument/2006/relationships/control" Target="../activeX/activeX1.xml"/><Relationship Id="rId12" Type="http://schemas.openxmlformats.org/officeDocument/2006/relationships/control" Target="../activeX/activeX7.xml"/><Relationship Id="rId17" Type="http://schemas.openxmlformats.org/officeDocument/2006/relationships/control" Target="../activeX/activeX10.xml"/><Relationship Id="rId25" Type="http://schemas.openxmlformats.org/officeDocument/2006/relationships/image" Target="../media/image8.emf"/><Relationship Id="rId33" Type="http://schemas.openxmlformats.org/officeDocument/2006/relationships/image" Target="../media/image12.emf"/><Relationship Id="rId38" Type="http://schemas.openxmlformats.org/officeDocument/2006/relationships/control" Target="../activeX/activeX22.xml"/><Relationship Id="rId46" Type="http://schemas.openxmlformats.org/officeDocument/2006/relationships/control" Target="../activeX/activeX26.xml"/><Relationship Id="rId59" Type="http://schemas.openxmlformats.org/officeDocument/2006/relationships/control" Target="../activeX/activeX33.xml"/><Relationship Id="rId67" Type="http://schemas.openxmlformats.org/officeDocument/2006/relationships/control" Target="../activeX/activeX41.xml"/><Relationship Id="rId103" Type="http://schemas.openxmlformats.org/officeDocument/2006/relationships/control" Target="../activeX/activeX65.xml"/><Relationship Id="rId108" Type="http://schemas.openxmlformats.org/officeDocument/2006/relationships/image" Target="../media/image39.emf"/><Relationship Id="rId116" Type="http://schemas.openxmlformats.org/officeDocument/2006/relationships/image" Target="../media/image43.emf"/><Relationship Id="rId124" Type="http://schemas.openxmlformats.org/officeDocument/2006/relationships/image" Target="../media/image47.emf"/><Relationship Id="rId129" Type="http://schemas.openxmlformats.org/officeDocument/2006/relationships/control" Target="../activeX/activeX78.xml"/><Relationship Id="rId137" Type="http://schemas.openxmlformats.org/officeDocument/2006/relationships/control" Target="../activeX/activeX82.xml"/><Relationship Id="rId20" Type="http://schemas.openxmlformats.org/officeDocument/2006/relationships/control" Target="../activeX/activeX12.xml"/><Relationship Id="rId41" Type="http://schemas.openxmlformats.org/officeDocument/2006/relationships/image" Target="../media/image16.emf"/><Relationship Id="rId54" Type="http://schemas.openxmlformats.org/officeDocument/2006/relationships/control" Target="../activeX/activeX30.xml"/><Relationship Id="rId62" Type="http://schemas.openxmlformats.org/officeDocument/2006/relationships/control" Target="../activeX/activeX36.xml"/><Relationship Id="rId70" Type="http://schemas.openxmlformats.org/officeDocument/2006/relationships/control" Target="../activeX/activeX44.xml"/><Relationship Id="rId75" Type="http://schemas.openxmlformats.org/officeDocument/2006/relationships/control" Target="../activeX/activeX49.xml"/><Relationship Id="rId83" Type="http://schemas.openxmlformats.org/officeDocument/2006/relationships/control" Target="../activeX/activeX55.xml"/><Relationship Id="rId88" Type="http://schemas.openxmlformats.org/officeDocument/2006/relationships/image" Target="../media/image29.emf"/><Relationship Id="rId91" Type="http://schemas.openxmlformats.org/officeDocument/2006/relationships/control" Target="../activeX/activeX59.xml"/><Relationship Id="rId96" Type="http://schemas.openxmlformats.org/officeDocument/2006/relationships/image" Target="../media/image33.emf"/><Relationship Id="rId111" Type="http://schemas.openxmlformats.org/officeDocument/2006/relationships/control" Target="../activeX/activeX69.xml"/><Relationship Id="rId132" Type="http://schemas.openxmlformats.org/officeDocument/2006/relationships/image" Target="../media/image51.emf"/><Relationship Id="rId140" Type="http://schemas.openxmlformats.org/officeDocument/2006/relationships/image" Target="../media/image55.emf"/><Relationship Id="rId1" Type="http://schemas.openxmlformats.org/officeDocument/2006/relationships/drawing" Target="../drawings/drawing1.xml"/><Relationship Id="rId6" Type="http://schemas.openxmlformats.org/officeDocument/2006/relationships/control" Target="../activeX/activeX3.xml"/><Relationship Id="rId15" Type="http://schemas.openxmlformats.org/officeDocument/2006/relationships/control" Target="../activeX/activeX9.xml"/><Relationship Id="rId23" Type="http://schemas.openxmlformats.org/officeDocument/2006/relationships/image" Target="../media/image7.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0.emf"/><Relationship Id="rId57" Type="http://schemas.openxmlformats.org/officeDocument/2006/relationships/image" Target="../media/image24.emf"/><Relationship Id="rId106" Type="http://schemas.openxmlformats.org/officeDocument/2006/relationships/image" Target="../media/image38.emf"/><Relationship Id="rId114" Type="http://schemas.openxmlformats.org/officeDocument/2006/relationships/image" Target="../media/image42.emf"/><Relationship Id="rId119" Type="http://schemas.openxmlformats.org/officeDocument/2006/relationships/control" Target="../activeX/activeX73.xml"/><Relationship Id="rId127" Type="http://schemas.openxmlformats.org/officeDocument/2006/relationships/control" Target="../activeX/activeX77.xml"/><Relationship Id="rId10" Type="http://schemas.openxmlformats.org/officeDocument/2006/relationships/control" Target="../activeX/activeX6.xml"/><Relationship Id="rId31" Type="http://schemas.openxmlformats.org/officeDocument/2006/relationships/image" Target="../media/image11.emf"/><Relationship Id="rId44" Type="http://schemas.openxmlformats.org/officeDocument/2006/relationships/control" Target="../activeX/activeX25.xml"/><Relationship Id="rId52" Type="http://schemas.openxmlformats.org/officeDocument/2006/relationships/control" Target="../activeX/activeX29.xml"/><Relationship Id="rId60" Type="http://schemas.openxmlformats.org/officeDocument/2006/relationships/control" Target="../activeX/activeX34.xml"/><Relationship Id="rId65" Type="http://schemas.openxmlformats.org/officeDocument/2006/relationships/control" Target="../activeX/activeX39.xml"/><Relationship Id="rId73" Type="http://schemas.openxmlformats.org/officeDocument/2006/relationships/control" Target="../activeX/activeX47.xml"/><Relationship Id="rId78" Type="http://schemas.openxmlformats.org/officeDocument/2006/relationships/control" Target="../activeX/activeX52.xml"/><Relationship Id="rId81" Type="http://schemas.openxmlformats.org/officeDocument/2006/relationships/control" Target="../activeX/activeX54.xml"/><Relationship Id="rId86" Type="http://schemas.openxmlformats.org/officeDocument/2006/relationships/image" Target="../media/image28.emf"/><Relationship Id="rId94" Type="http://schemas.openxmlformats.org/officeDocument/2006/relationships/image" Target="../media/image32.emf"/><Relationship Id="rId99" Type="http://schemas.openxmlformats.org/officeDocument/2006/relationships/control" Target="../activeX/activeX63.xml"/><Relationship Id="rId101" Type="http://schemas.openxmlformats.org/officeDocument/2006/relationships/control" Target="../activeX/activeX64.xml"/><Relationship Id="rId122" Type="http://schemas.openxmlformats.org/officeDocument/2006/relationships/image" Target="../media/image46.emf"/><Relationship Id="rId130" Type="http://schemas.openxmlformats.org/officeDocument/2006/relationships/image" Target="../media/image50.emf"/><Relationship Id="rId135" Type="http://schemas.openxmlformats.org/officeDocument/2006/relationships/control" Target="../activeX/activeX81.xml"/><Relationship Id="rId143" Type="http://schemas.openxmlformats.org/officeDocument/2006/relationships/control" Target="../activeX/activeX85.xml"/><Relationship Id="rId4" Type="http://schemas.openxmlformats.org/officeDocument/2006/relationships/image" Target="../media/image1.emf"/><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image" Target="../media/image6.emf"/><Relationship Id="rId39" Type="http://schemas.openxmlformats.org/officeDocument/2006/relationships/image" Target="../media/image15.emf"/><Relationship Id="rId109" Type="http://schemas.openxmlformats.org/officeDocument/2006/relationships/control" Target="../activeX/activeX68.xml"/><Relationship Id="rId34" Type="http://schemas.openxmlformats.org/officeDocument/2006/relationships/control" Target="../activeX/activeX20.xml"/><Relationship Id="rId50" Type="http://schemas.openxmlformats.org/officeDocument/2006/relationships/control" Target="../activeX/activeX28.xml"/><Relationship Id="rId55" Type="http://schemas.openxmlformats.org/officeDocument/2006/relationships/image" Target="../media/image23.emf"/><Relationship Id="rId76" Type="http://schemas.openxmlformats.org/officeDocument/2006/relationships/control" Target="../activeX/activeX50.xml"/><Relationship Id="rId97" Type="http://schemas.openxmlformats.org/officeDocument/2006/relationships/control" Target="../activeX/activeX62.xml"/><Relationship Id="rId104" Type="http://schemas.openxmlformats.org/officeDocument/2006/relationships/image" Target="../media/image37.emf"/><Relationship Id="rId120" Type="http://schemas.openxmlformats.org/officeDocument/2006/relationships/image" Target="../media/image45.emf"/><Relationship Id="rId125" Type="http://schemas.openxmlformats.org/officeDocument/2006/relationships/control" Target="../activeX/activeX76.xml"/><Relationship Id="rId141" Type="http://schemas.openxmlformats.org/officeDocument/2006/relationships/control" Target="../activeX/activeX84.xml"/><Relationship Id="rId7" Type="http://schemas.openxmlformats.org/officeDocument/2006/relationships/control" Target="../activeX/activeX4.xml"/><Relationship Id="rId71" Type="http://schemas.openxmlformats.org/officeDocument/2006/relationships/control" Target="../activeX/activeX45.xml"/><Relationship Id="rId92" Type="http://schemas.openxmlformats.org/officeDocument/2006/relationships/image" Target="../media/image31.emf"/><Relationship Id="rId2" Type="http://schemas.openxmlformats.org/officeDocument/2006/relationships/vmlDrawing" Target="../drawings/vmlDrawing1.vml"/><Relationship Id="rId29" Type="http://schemas.openxmlformats.org/officeDocument/2006/relationships/image" Target="../media/image10.emf"/><Relationship Id="rId24" Type="http://schemas.openxmlformats.org/officeDocument/2006/relationships/control" Target="../activeX/activeX15.xml"/><Relationship Id="rId40" Type="http://schemas.openxmlformats.org/officeDocument/2006/relationships/control" Target="../activeX/activeX23.xml"/><Relationship Id="rId45" Type="http://schemas.openxmlformats.org/officeDocument/2006/relationships/image" Target="../media/image18.emf"/><Relationship Id="rId66" Type="http://schemas.openxmlformats.org/officeDocument/2006/relationships/control" Target="../activeX/activeX40.xml"/><Relationship Id="rId87" Type="http://schemas.openxmlformats.org/officeDocument/2006/relationships/control" Target="../activeX/activeX57.xml"/><Relationship Id="rId110" Type="http://schemas.openxmlformats.org/officeDocument/2006/relationships/image" Target="../media/image40.emf"/><Relationship Id="rId115" Type="http://schemas.openxmlformats.org/officeDocument/2006/relationships/control" Target="../activeX/activeX71.xml"/><Relationship Id="rId131" Type="http://schemas.openxmlformats.org/officeDocument/2006/relationships/control" Target="../activeX/activeX79.xml"/><Relationship Id="rId136" Type="http://schemas.openxmlformats.org/officeDocument/2006/relationships/image" Target="../media/image53.emf"/><Relationship Id="rId61" Type="http://schemas.openxmlformats.org/officeDocument/2006/relationships/control" Target="../activeX/activeX35.xml"/><Relationship Id="rId82" Type="http://schemas.openxmlformats.org/officeDocument/2006/relationships/image" Target="../media/image26.emf"/><Relationship Id="rId19" Type="http://schemas.openxmlformats.org/officeDocument/2006/relationships/control" Target="../activeX/activeX11.xml"/><Relationship Id="rId14" Type="http://schemas.openxmlformats.org/officeDocument/2006/relationships/control" Target="../activeX/activeX8.xml"/><Relationship Id="rId30" Type="http://schemas.openxmlformats.org/officeDocument/2006/relationships/control" Target="../activeX/activeX18.xml"/><Relationship Id="rId35" Type="http://schemas.openxmlformats.org/officeDocument/2006/relationships/image" Target="../media/image13.emf"/><Relationship Id="rId56" Type="http://schemas.openxmlformats.org/officeDocument/2006/relationships/control" Target="../activeX/activeX31.xml"/><Relationship Id="rId77" Type="http://schemas.openxmlformats.org/officeDocument/2006/relationships/control" Target="../activeX/activeX51.xml"/><Relationship Id="rId100" Type="http://schemas.openxmlformats.org/officeDocument/2006/relationships/image" Target="../media/image35.emf"/><Relationship Id="rId105" Type="http://schemas.openxmlformats.org/officeDocument/2006/relationships/control" Target="../activeX/activeX66.xml"/><Relationship Id="rId126" Type="http://schemas.openxmlformats.org/officeDocument/2006/relationships/image" Target="../media/image4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S169"/>
  <sheetViews>
    <sheetView tabSelected="1" showWhiteSpace="0" zoomScale="110" zoomScaleNormal="110" zoomScalePageLayoutView="140" workbookViewId="0">
      <selection activeCell="A4" sqref="A4:E4"/>
    </sheetView>
  </sheetViews>
  <sheetFormatPr baseColWidth="10" defaultColWidth="0" defaultRowHeight="15" zeroHeight="1" outlineLevelRow="1" x14ac:dyDescent="0.25"/>
  <cols>
    <col min="1" max="1" width="13.7109375" style="12" customWidth="1"/>
    <col min="2" max="2" width="14.28515625" style="12" customWidth="1"/>
    <col min="3" max="3" width="16" style="12" customWidth="1"/>
    <col min="4" max="4" width="14.140625" style="12" customWidth="1"/>
    <col min="5" max="7" width="13.7109375" style="12" customWidth="1"/>
    <col min="8" max="8" width="1.7109375" style="13" customWidth="1"/>
    <col min="9" max="9" width="45.7109375" style="13" hidden="1" customWidth="1"/>
    <col min="10" max="10" width="11.42578125" style="12" hidden="1" customWidth="1"/>
    <col min="11" max="11" width="11" style="12" hidden="1" customWidth="1"/>
    <col min="12" max="15" width="11.42578125" style="12" hidden="1" customWidth="1"/>
    <col min="16" max="16" width="14" style="12" hidden="1" customWidth="1"/>
    <col min="17" max="17" width="16.42578125" style="12" hidden="1" customWidth="1"/>
    <col min="18" max="16384" width="11.42578125" style="12" hidden="1"/>
  </cols>
  <sheetData>
    <row r="1" spans="1:19" customFormat="1" ht="18" thickBot="1" x14ac:dyDescent="0.45">
      <c r="A1" s="205" t="s">
        <v>10</v>
      </c>
      <c r="B1" s="206"/>
      <c r="C1" s="206"/>
      <c r="D1" s="206"/>
      <c r="E1" s="206"/>
      <c r="F1" s="206"/>
      <c r="G1" s="207"/>
      <c r="H1" s="15" t="str">
        <f>IF(AND(D110="",E110="",F110="",G110=""),"",IF(MIN(D131:G131)&lt;0,MAX(D131:G131),""))</f>
        <v/>
      </c>
      <c r="I1" s="15"/>
      <c r="S1" t="str">
        <f t="array" ref="S1:S122">""</f>
        <v/>
      </c>
    </row>
    <row r="2" spans="1:19" customFormat="1" ht="276.75" hidden="1" customHeight="1" outlineLevel="1" thickBot="1" x14ac:dyDescent="0.45">
      <c r="A2" s="228" t="s">
        <v>128</v>
      </c>
      <c r="B2" s="229"/>
      <c r="C2" s="229"/>
      <c r="D2" s="229"/>
      <c r="E2" s="229"/>
      <c r="F2" s="229"/>
      <c r="G2" s="230"/>
      <c r="H2" s="15"/>
      <c r="I2" s="15"/>
      <c r="S2" t="str">
        <v/>
      </c>
    </row>
    <row r="3" spans="1:19" customFormat="1" ht="35.1" customHeight="1" collapsed="1" thickBot="1" x14ac:dyDescent="0.45">
      <c r="A3" s="220" t="s">
        <v>120</v>
      </c>
      <c r="B3" s="221"/>
      <c r="C3" s="221"/>
      <c r="D3" s="221"/>
      <c r="E3" s="221"/>
      <c r="F3" s="221"/>
      <c r="G3" s="222"/>
      <c r="H3" s="15"/>
      <c r="I3" s="15"/>
      <c r="S3" t="str">
        <v/>
      </c>
    </row>
    <row r="4" spans="1:19" customFormat="1" ht="69" customHeight="1" thickBot="1" x14ac:dyDescent="0.3">
      <c r="A4" s="216" t="s">
        <v>127</v>
      </c>
      <c r="B4" s="217"/>
      <c r="C4" s="217"/>
      <c r="D4" s="217"/>
      <c r="E4" s="217"/>
      <c r="F4" s="218" t="s">
        <v>213</v>
      </c>
      <c r="G4" s="219"/>
      <c r="H4" s="15"/>
      <c r="I4" s="15"/>
      <c r="S4" t="str">
        <v/>
      </c>
    </row>
    <row r="5" spans="1:19" customFormat="1" ht="52.5" thickBot="1" x14ac:dyDescent="0.3">
      <c r="A5" s="163" t="s">
        <v>214</v>
      </c>
      <c r="B5" s="16"/>
      <c r="C5" s="164" t="s">
        <v>211</v>
      </c>
      <c r="D5" s="165"/>
      <c r="E5" s="164" t="s">
        <v>212</v>
      </c>
      <c r="F5" s="166"/>
      <c r="G5" s="223" t="s">
        <v>119</v>
      </c>
      <c r="H5" s="15"/>
      <c r="I5" s="86"/>
      <c r="S5" t="str">
        <v/>
      </c>
    </row>
    <row r="6" spans="1:19" customFormat="1" ht="52.15" customHeight="1" thickBot="1" x14ac:dyDescent="0.3">
      <c r="A6" s="163" t="s">
        <v>23</v>
      </c>
      <c r="B6" s="18">
        <v>46023</v>
      </c>
      <c r="C6" s="19" t="s">
        <v>24</v>
      </c>
      <c r="D6" s="20">
        <v>46082</v>
      </c>
      <c r="E6" s="164" t="s">
        <v>118</v>
      </c>
      <c r="F6" s="20">
        <v>46387</v>
      </c>
      <c r="G6" s="224"/>
      <c r="H6" s="15"/>
      <c r="I6" s="82" t="s">
        <v>38</v>
      </c>
      <c r="S6" t="str">
        <v/>
      </c>
    </row>
    <row r="7" spans="1:19" customFormat="1" ht="20.100000000000001" customHeight="1" thickBot="1" x14ac:dyDescent="0.3">
      <c r="A7" s="179" t="s">
        <v>0</v>
      </c>
      <c r="B7" s="180"/>
      <c r="C7" s="180"/>
      <c r="D7" s="180"/>
      <c r="E7" s="180"/>
      <c r="F7" s="180"/>
      <c r="G7" s="181"/>
      <c r="H7" s="15"/>
      <c r="I7" s="15"/>
      <c r="S7" t="str">
        <v/>
      </c>
    </row>
    <row r="8" spans="1:19" customFormat="1" ht="20.100000000000001" customHeight="1" thickBot="1" x14ac:dyDescent="0.3">
      <c r="A8" s="179" t="s">
        <v>16</v>
      </c>
      <c r="B8" s="180"/>
      <c r="C8" s="180"/>
      <c r="D8" s="180"/>
      <c r="E8" s="180"/>
      <c r="F8" s="180"/>
      <c r="G8" s="181"/>
      <c r="H8" s="15"/>
      <c r="I8" s="82" t="s">
        <v>39</v>
      </c>
      <c r="S8" t="str">
        <v/>
      </c>
    </row>
    <row r="9" spans="1:19" customFormat="1" ht="33.75" thickBot="1" x14ac:dyDescent="0.3">
      <c r="A9" s="21" t="s">
        <v>122</v>
      </c>
      <c r="B9" s="25"/>
      <c r="C9" s="22"/>
      <c r="D9" s="22"/>
      <c r="E9" s="22"/>
      <c r="F9" s="22"/>
      <c r="G9" s="23"/>
      <c r="H9" s="15"/>
      <c r="I9" s="15"/>
      <c r="N9">
        <f>COLUMN(B9)</f>
        <v>2</v>
      </c>
      <c r="S9" t="str">
        <v/>
      </c>
    </row>
    <row r="10" spans="1:19" customFormat="1" ht="87" thickBot="1" x14ac:dyDescent="0.3">
      <c r="A10" s="21" t="s">
        <v>123</v>
      </c>
      <c r="B10" s="24" t="s">
        <v>124</v>
      </c>
      <c r="C10" s="22"/>
      <c r="D10" s="22"/>
      <c r="E10" s="22"/>
      <c r="F10" s="22"/>
      <c r="G10" s="23"/>
      <c r="H10" s="15"/>
      <c r="I10" s="15"/>
      <c r="S10" t="str">
        <v/>
      </c>
    </row>
    <row r="11" spans="1:19" customFormat="1" ht="69.75" thickBot="1" x14ac:dyDescent="0.3">
      <c r="A11" s="21" t="s">
        <v>125</v>
      </c>
      <c r="B11" s="25"/>
      <c r="C11" s="22"/>
      <c r="D11" s="22"/>
      <c r="E11" s="22"/>
      <c r="F11" s="22"/>
      <c r="G11" s="23"/>
      <c r="H11" s="15"/>
      <c r="I11" s="15"/>
      <c r="N11">
        <f>COLUMN(B11)</f>
        <v>2</v>
      </c>
      <c r="S11" t="str">
        <v/>
      </c>
    </row>
    <row r="12" spans="1:19" customFormat="1" ht="35.25" thickBot="1" x14ac:dyDescent="0.3">
      <c r="A12" s="21" t="s">
        <v>126</v>
      </c>
      <c r="B12" s="93"/>
      <c r="C12" s="94"/>
      <c r="D12" s="95"/>
      <c r="E12" s="95"/>
      <c r="F12" s="95"/>
      <c r="G12" s="96"/>
      <c r="H12" s="15"/>
      <c r="I12" s="15"/>
      <c r="N12">
        <f>COLUMN(B12)</f>
        <v>2</v>
      </c>
      <c r="S12" t="str">
        <v/>
      </c>
    </row>
    <row r="13" spans="1:19" customFormat="1" ht="20.100000000000001" customHeight="1" thickBot="1" x14ac:dyDescent="0.3">
      <c r="A13" s="225" t="s">
        <v>48</v>
      </c>
      <c r="B13" s="226"/>
      <c r="C13" s="226"/>
      <c r="D13" s="226"/>
      <c r="E13" s="226"/>
      <c r="F13" s="226"/>
      <c r="G13" s="227"/>
      <c r="H13" s="15"/>
      <c r="I13" s="82" t="s">
        <v>40</v>
      </c>
      <c r="S13" t="str">
        <v/>
      </c>
    </row>
    <row r="14" spans="1:19" customFormat="1" ht="18" customHeight="1" thickBot="1" x14ac:dyDescent="0.3">
      <c r="A14" s="26">
        <v>1</v>
      </c>
      <c r="B14" s="210"/>
      <c r="C14" s="211"/>
      <c r="D14" s="24" t="s">
        <v>129</v>
      </c>
      <c r="E14" s="22"/>
      <c r="F14" s="22"/>
      <c r="G14" s="23"/>
      <c r="H14" s="15"/>
      <c r="I14" s="15"/>
      <c r="N14">
        <f>COLUMN(D14)</f>
        <v>4</v>
      </c>
      <c r="S14" t="str">
        <v/>
      </c>
    </row>
    <row r="15" spans="1:19" customFormat="1" ht="18" thickBot="1" x14ac:dyDescent="0.3">
      <c r="A15" s="30">
        <v>2</v>
      </c>
      <c r="B15" s="212"/>
      <c r="C15" s="213"/>
      <c r="D15" s="27"/>
      <c r="E15" s="28"/>
      <c r="F15" s="28"/>
      <c r="G15" s="29"/>
      <c r="H15" s="15"/>
      <c r="I15" s="15"/>
      <c r="N15">
        <f>COLUMN(D15)</f>
        <v>4</v>
      </c>
      <c r="S15" t="str">
        <v/>
      </c>
    </row>
    <row r="16" spans="1:19" customFormat="1" ht="18" hidden="1" thickBot="1" x14ac:dyDescent="0.3">
      <c r="A16" s="31">
        <v>3</v>
      </c>
      <c r="B16" s="214"/>
      <c r="C16" s="215"/>
      <c r="D16" s="27"/>
      <c r="E16" s="28"/>
      <c r="F16" s="28"/>
      <c r="G16" s="29"/>
      <c r="H16" s="15"/>
      <c r="I16" s="15"/>
      <c r="N16">
        <f>COLUMN(D16)</f>
        <v>4</v>
      </c>
      <c r="S16" t="str">
        <v/>
      </c>
    </row>
    <row r="17" spans="1:19" customFormat="1" ht="18" hidden="1" thickBot="1" x14ac:dyDescent="0.3">
      <c r="A17" s="31">
        <v>4</v>
      </c>
      <c r="B17" s="214"/>
      <c r="C17" s="215"/>
      <c r="D17" s="27"/>
      <c r="E17" s="28"/>
      <c r="F17" s="28"/>
      <c r="G17" s="29"/>
      <c r="H17" s="15"/>
      <c r="I17" s="15"/>
      <c r="N17">
        <f>COLUMN(D17)</f>
        <v>4</v>
      </c>
      <c r="S17" t="str">
        <v/>
      </c>
    </row>
    <row r="18" spans="1:19" customFormat="1" ht="18" hidden="1" thickBot="1" x14ac:dyDescent="0.3">
      <c r="A18" s="31">
        <v>5</v>
      </c>
      <c r="B18" s="214"/>
      <c r="C18" s="215"/>
      <c r="D18" s="27"/>
      <c r="E18" s="28"/>
      <c r="F18" s="28"/>
      <c r="G18" s="29"/>
      <c r="H18" s="15"/>
      <c r="I18" s="15"/>
      <c r="N18">
        <f>COLUMN(D18)</f>
        <v>4</v>
      </c>
      <c r="S18" t="str">
        <v/>
      </c>
    </row>
    <row r="19" spans="1:19" customFormat="1" ht="20.100000000000001" customHeight="1" thickBot="1" x14ac:dyDescent="0.3">
      <c r="A19" s="179" t="s">
        <v>1</v>
      </c>
      <c r="B19" s="180"/>
      <c r="C19" s="180"/>
      <c r="D19" s="180"/>
      <c r="E19" s="180"/>
      <c r="F19" s="180"/>
      <c r="G19" s="181"/>
      <c r="H19" s="15"/>
      <c r="I19" s="15"/>
      <c r="S19" t="str">
        <v/>
      </c>
    </row>
    <row r="20" spans="1:19" customFormat="1" ht="69.75" thickBot="1" x14ac:dyDescent="0.3">
      <c r="A20" s="24" t="s">
        <v>130</v>
      </c>
      <c r="B20" s="22"/>
      <c r="C20" s="22"/>
      <c r="D20" s="22"/>
      <c r="E20" s="22"/>
      <c r="F20" s="22"/>
      <c r="G20" s="32"/>
      <c r="H20" s="15"/>
      <c r="I20" s="15"/>
      <c r="N20">
        <f>COLUMN(A20)</f>
        <v>1</v>
      </c>
      <c r="S20" t="str">
        <v/>
      </c>
    </row>
    <row r="21" spans="1:19" customFormat="1" ht="20.100000000000001" customHeight="1" thickBot="1" x14ac:dyDescent="0.3">
      <c r="A21" s="179" t="s">
        <v>2</v>
      </c>
      <c r="B21" s="180"/>
      <c r="C21" s="180"/>
      <c r="D21" s="180"/>
      <c r="E21" s="180"/>
      <c r="F21" s="180"/>
      <c r="G21" s="181"/>
      <c r="H21" s="15"/>
      <c r="I21" s="15"/>
      <c r="S21" t="str">
        <v/>
      </c>
    </row>
    <row r="22" spans="1:19" customFormat="1" ht="20.100000000000001" customHeight="1" thickBot="1" x14ac:dyDescent="0.3">
      <c r="A22" s="179" t="s">
        <v>3</v>
      </c>
      <c r="B22" s="180"/>
      <c r="C22" s="180"/>
      <c r="D22" s="180"/>
      <c r="E22" s="180"/>
      <c r="F22" s="180"/>
      <c r="G22" s="181"/>
      <c r="H22" s="15"/>
      <c r="I22" s="82" t="s">
        <v>41</v>
      </c>
      <c r="S22" t="str">
        <v/>
      </c>
    </row>
    <row r="23" spans="1:19" customFormat="1" ht="21.95" customHeight="1" thickBot="1" x14ac:dyDescent="0.3">
      <c r="A23" s="33" t="s">
        <v>11</v>
      </c>
      <c r="B23" s="34">
        <v>1</v>
      </c>
      <c r="C23" s="142" t="s">
        <v>133</v>
      </c>
      <c r="D23" s="208"/>
      <c r="E23" s="208"/>
      <c r="F23" s="208"/>
      <c r="G23" s="209"/>
      <c r="H23" s="15"/>
      <c r="I23" s="15"/>
      <c r="S23" t="str">
        <v/>
      </c>
    </row>
    <row r="24" spans="1:19" customFormat="1" ht="21.95" customHeight="1" thickBot="1" x14ac:dyDescent="0.3">
      <c r="A24" s="33" t="s">
        <v>11</v>
      </c>
      <c r="B24" s="34">
        <v>2</v>
      </c>
      <c r="C24" s="142" t="s">
        <v>133</v>
      </c>
      <c r="D24" s="208"/>
      <c r="E24" s="208"/>
      <c r="F24" s="208"/>
      <c r="G24" s="209"/>
      <c r="H24" s="15"/>
      <c r="I24" s="15"/>
      <c r="S24" t="str">
        <v/>
      </c>
    </row>
    <row r="25" spans="1:19" customFormat="1" ht="21.95" customHeight="1" thickBot="1" x14ac:dyDescent="0.3">
      <c r="A25" s="33" t="s">
        <v>11</v>
      </c>
      <c r="B25" s="34">
        <v>3</v>
      </c>
      <c r="C25" s="142" t="s">
        <v>133</v>
      </c>
      <c r="D25" s="208"/>
      <c r="E25" s="208"/>
      <c r="F25" s="208"/>
      <c r="G25" s="209"/>
      <c r="H25" s="15"/>
      <c r="I25" s="15"/>
      <c r="S25" t="str">
        <v/>
      </c>
    </row>
    <row r="26" spans="1:19" customFormat="1" ht="21.95" customHeight="1" thickBot="1" x14ac:dyDescent="0.3">
      <c r="A26" s="33" t="s">
        <v>11</v>
      </c>
      <c r="B26" s="35">
        <v>4</v>
      </c>
      <c r="C26" s="142" t="s">
        <v>133</v>
      </c>
      <c r="D26" s="208"/>
      <c r="E26" s="208"/>
      <c r="F26" s="208"/>
      <c r="G26" s="209"/>
      <c r="H26" s="15"/>
      <c r="I26" s="15"/>
      <c r="S26" t="str">
        <v/>
      </c>
    </row>
    <row r="27" spans="1:19" customFormat="1" ht="20.100000000000001" customHeight="1" thickBot="1" x14ac:dyDescent="0.4">
      <c r="A27" s="179" t="s">
        <v>4</v>
      </c>
      <c r="B27" s="180"/>
      <c r="C27" s="180"/>
      <c r="D27" s="180"/>
      <c r="E27" s="180"/>
      <c r="F27" s="180"/>
      <c r="G27" s="181"/>
      <c r="H27" s="15"/>
      <c r="I27" s="83" t="s">
        <v>42</v>
      </c>
      <c r="S27" t="str">
        <v/>
      </c>
    </row>
    <row r="28" spans="1:19" customFormat="1" ht="52.5" hidden="1" thickBot="1" x14ac:dyDescent="0.3">
      <c r="A28" s="176"/>
      <c r="B28" s="100" t="s">
        <v>131</v>
      </c>
      <c r="C28" s="36"/>
      <c r="D28" s="97"/>
      <c r="E28" s="97"/>
      <c r="F28" s="97"/>
      <c r="G28" s="98"/>
      <c r="H28" s="15"/>
      <c r="I28" s="15"/>
      <c r="N28">
        <f>COLUMN(C28)</f>
        <v>3</v>
      </c>
      <c r="S28" t="str">
        <v/>
      </c>
    </row>
    <row r="29" spans="1:19" customFormat="1" ht="54.95" hidden="1" customHeight="1" thickBot="1" x14ac:dyDescent="0.3">
      <c r="A29" s="177"/>
      <c r="B29" s="99" t="s">
        <v>132</v>
      </c>
      <c r="C29" s="22"/>
      <c r="D29" s="22"/>
      <c r="E29" s="22"/>
      <c r="F29" s="22"/>
      <c r="G29" s="23"/>
      <c r="H29" s="15"/>
      <c r="I29" s="15"/>
      <c r="S29" t="str">
        <v/>
      </c>
    </row>
    <row r="30" spans="1:19" customFormat="1" ht="52.5" hidden="1" thickBot="1" x14ac:dyDescent="0.3">
      <c r="A30" s="176"/>
      <c r="B30" s="101" t="s">
        <v>131</v>
      </c>
      <c r="C30" s="36"/>
      <c r="D30" s="97"/>
      <c r="E30" s="97"/>
      <c r="F30" s="97"/>
      <c r="G30" s="98"/>
      <c r="H30" s="15"/>
      <c r="I30" s="15"/>
      <c r="N30">
        <f t="shared" ref="N30:N34" si="0">COLUMN(C30)</f>
        <v>3</v>
      </c>
      <c r="S30" t="str">
        <v/>
      </c>
    </row>
    <row r="31" spans="1:19" customFormat="1" ht="54.95" hidden="1" customHeight="1" thickBot="1" x14ac:dyDescent="0.3">
      <c r="A31" s="177"/>
      <c r="B31" s="99" t="s">
        <v>132</v>
      </c>
      <c r="C31" s="22"/>
      <c r="D31" s="22"/>
      <c r="E31" s="22"/>
      <c r="F31" s="22"/>
      <c r="G31" s="23"/>
      <c r="H31" s="15"/>
      <c r="I31" s="15"/>
      <c r="S31" t="str">
        <v/>
      </c>
    </row>
    <row r="32" spans="1:19" customFormat="1" ht="52.5" hidden="1" thickBot="1" x14ac:dyDescent="0.3">
      <c r="A32" s="176"/>
      <c r="B32" s="101" t="s">
        <v>131</v>
      </c>
      <c r="C32" s="36"/>
      <c r="D32" s="97"/>
      <c r="E32" s="97"/>
      <c r="F32" s="97"/>
      <c r="G32" s="98"/>
      <c r="H32" s="15"/>
      <c r="I32" s="15"/>
      <c r="N32">
        <f t="shared" si="0"/>
        <v>3</v>
      </c>
      <c r="S32" t="str">
        <v/>
      </c>
    </row>
    <row r="33" spans="1:19" customFormat="1" ht="54.95" hidden="1" customHeight="1" thickBot="1" x14ac:dyDescent="0.3">
      <c r="A33" s="177"/>
      <c r="B33" s="99" t="s">
        <v>132</v>
      </c>
      <c r="C33" s="22"/>
      <c r="D33" s="22"/>
      <c r="E33" s="22"/>
      <c r="F33" s="22"/>
      <c r="G33" s="23"/>
      <c r="H33" s="15"/>
      <c r="I33" s="15"/>
      <c r="S33" t="str">
        <v/>
      </c>
    </row>
    <row r="34" spans="1:19" customFormat="1" ht="52.5" hidden="1" thickBot="1" x14ac:dyDescent="0.3">
      <c r="A34" s="176"/>
      <c r="B34" s="101" t="s">
        <v>131</v>
      </c>
      <c r="C34" s="36"/>
      <c r="D34" s="97"/>
      <c r="E34" s="97"/>
      <c r="F34" s="97"/>
      <c r="G34" s="98"/>
      <c r="H34" s="15"/>
      <c r="I34" s="15"/>
      <c r="N34">
        <f t="shared" si="0"/>
        <v>3</v>
      </c>
      <c r="S34" t="str">
        <v/>
      </c>
    </row>
    <row r="35" spans="1:19" customFormat="1" ht="54.95" hidden="1" customHeight="1" thickBot="1" x14ac:dyDescent="0.3">
      <c r="A35" s="177"/>
      <c r="B35" s="99" t="s">
        <v>132</v>
      </c>
      <c r="C35" s="22"/>
      <c r="D35" s="22"/>
      <c r="E35" s="22"/>
      <c r="F35" s="22"/>
      <c r="G35" s="23"/>
      <c r="H35" s="15"/>
      <c r="I35" s="15"/>
      <c r="N35">
        <f>COLUMN(B35)</f>
        <v>2</v>
      </c>
      <c r="S35" t="str">
        <v/>
      </c>
    </row>
    <row r="36" spans="1:19" customFormat="1" ht="20.100000000000001" customHeight="1" thickBot="1" x14ac:dyDescent="0.3">
      <c r="A36" s="179" t="s">
        <v>5</v>
      </c>
      <c r="B36" s="180"/>
      <c r="C36" s="180"/>
      <c r="D36" s="180"/>
      <c r="E36" s="180"/>
      <c r="F36" s="180"/>
      <c r="G36" s="181"/>
      <c r="H36" s="15"/>
      <c r="I36" s="82"/>
      <c r="S36" t="str">
        <v/>
      </c>
    </row>
    <row r="37" spans="1:19" customFormat="1" ht="45" hidden="1" customHeight="1" thickBot="1" x14ac:dyDescent="0.35">
      <c r="A37" s="128" t="s">
        <v>11</v>
      </c>
      <c r="B37" s="173" t="s">
        <v>152</v>
      </c>
      <c r="C37" s="37" t="s">
        <v>46</v>
      </c>
      <c r="D37" s="37" t="s">
        <v>47</v>
      </c>
      <c r="E37" s="37" t="s">
        <v>117</v>
      </c>
      <c r="F37" s="80" t="s">
        <v>116</v>
      </c>
      <c r="G37" s="38" t="s">
        <v>14</v>
      </c>
      <c r="H37" s="15"/>
      <c r="I37" s="82" t="s">
        <v>43</v>
      </c>
      <c r="S37" t="str">
        <v/>
      </c>
    </row>
    <row r="38" spans="1:19" customFormat="1" ht="45" hidden="1" customHeight="1" thickBot="1" x14ac:dyDescent="0.3">
      <c r="A38" s="129">
        <f>IF(B23="","",B23)</f>
        <v>1</v>
      </c>
      <c r="B38" s="173"/>
      <c r="C38" s="103" t="s">
        <v>142</v>
      </c>
      <c r="D38" s="116" t="s">
        <v>115</v>
      </c>
      <c r="E38" s="114">
        <v>0</v>
      </c>
      <c r="F38" s="117">
        <v>0</v>
      </c>
      <c r="G38" s="102">
        <f>IF(C38="Bei Bedarf bitte auswählen",0,IF(D38="Bei Bedarf bitte auswählen",0,IF(E38=0,0,IF(F38=0,0,(VLOOKUP(D38,Hilfstabelle!$A$46:$B$141,2,FALSE)*E38*F38*-1)/O38*P38*Q38))))</f>
        <v>0</v>
      </c>
      <c r="H38" s="15"/>
      <c r="I38" s="87"/>
      <c r="O38" t="str">
        <f>IF(C38="Personalnormkosten Arbeitnehmer",196.75,IF(C38="Personalnormkosten Beamte",195.5,IF(C38="Personalnormkosten Soldaten",208.18,"")))</f>
        <v/>
      </c>
      <c r="P38">
        <f>(($F$6-$D$6)+1)</f>
        <v>306</v>
      </c>
      <c r="Q38" t="e">
        <f>O38/365</f>
        <v>#VALUE!</v>
      </c>
      <c r="S38" t="str">
        <v/>
      </c>
    </row>
    <row r="39" spans="1:19" customFormat="1" ht="45" hidden="1" customHeight="1" thickBot="1" x14ac:dyDescent="0.3">
      <c r="A39" s="178" t="s">
        <v>133</v>
      </c>
      <c r="B39" s="173"/>
      <c r="C39" s="105" t="s">
        <v>142</v>
      </c>
      <c r="D39" s="116" t="s">
        <v>115</v>
      </c>
      <c r="E39" s="114">
        <v>0</v>
      </c>
      <c r="F39" s="117">
        <v>0</v>
      </c>
      <c r="G39" s="81">
        <f>IF(C39="Bei Bedarf bitte auswählen",0,IF(D39="Bei Bedarf bitte auswählen",0,IF(E39=0,0,IF(F39=0,0,(VLOOKUP(D39,Hilfstabelle!$A$46:$B$141,2,FALSE)*E39*F39*-1)/O39*P39*Q39))))</f>
        <v>0</v>
      </c>
      <c r="H39" s="15"/>
      <c r="I39" s="15"/>
      <c r="O39" t="str">
        <f>IF(C39="Personalnormkosten Arbeitnehmer",196.75,IF(C39="Personalnormkosten Beamte",195.5,IF(C39="Personalnormkosten Soldaten",208.18,"")))</f>
        <v/>
      </c>
      <c r="P39">
        <f t="shared" ref="P39:P40" si="1">(($F$6-$D$6)+1)</f>
        <v>306</v>
      </c>
      <c r="Q39" t="e">
        <f>O39/365</f>
        <v>#VALUE!</v>
      </c>
      <c r="S39" t="str">
        <v/>
      </c>
    </row>
    <row r="40" spans="1:19" customFormat="1" ht="45" hidden="1" customHeight="1" thickBot="1" x14ac:dyDescent="0.3">
      <c r="A40" s="178"/>
      <c r="B40" s="174"/>
      <c r="C40" s="89" t="s">
        <v>142</v>
      </c>
      <c r="D40" s="118" t="s">
        <v>115</v>
      </c>
      <c r="E40" s="119">
        <v>0</v>
      </c>
      <c r="F40" s="120">
        <v>0</v>
      </c>
      <c r="G40" s="81">
        <f>IF(C40="Bei Bedarf bitte auswählen",0,IF(D40="Bei Bedarf bitte auswählen",0,IF(E40=0,0,IF(F40=0,0,(VLOOKUP(D40,Hilfstabelle!$A$46:$B$141,2,FALSE)*E40*F40*-1)/O40*P40*Q40))))</f>
        <v>0</v>
      </c>
      <c r="H40" s="15"/>
      <c r="I40" s="15"/>
      <c r="O40" t="str">
        <f>IF(C40="Personalnormkosten Arbeitnehmer",196.75,IF(C40="Personalnormkosten Beamte",195.5,IF(C40="Personalnormkosten Soldaten",208.18,"")))</f>
        <v/>
      </c>
      <c r="P40">
        <f t="shared" si="1"/>
        <v>306</v>
      </c>
      <c r="Q40" t="e">
        <f>O40/365</f>
        <v>#VALUE!</v>
      </c>
      <c r="S40" t="str">
        <v/>
      </c>
    </row>
    <row r="41" spans="1:19" customFormat="1" ht="45" hidden="1" customHeight="1" thickBot="1" x14ac:dyDescent="0.3">
      <c r="A41" s="178"/>
      <c r="B41" s="150" t="s">
        <v>151</v>
      </c>
      <c r="C41" s="37" t="s">
        <v>46</v>
      </c>
      <c r="D41" s="37" t="s">
        <v>149</v>
      </c>
      <c r="E41" s="37" t="s">
        <v>150</v>
      </c>
      <c r="F41" s="37" t="s">
        <v>136</v>
      </c>
      <c r="G41" s="122" t="s">
        <v>14</v>
      </c>
      <c r="H41" s="15"/>
      <c r="I41" s="82" t="s">
        <v>169</v>
      </c>
      <c r="S41" t="str">
        <v/>
      </c>
    </row>
    <row r="42" spans="1:19" customFormat="1" ht="45" hidden="1" customHeight="1" thickBot="1" x14ac:dyDescent="0.3">
      <c r="A42" s="178"/>
      <c r="B42" s="153"/>
      <c r="C42" s="110" t="s">
        <v>145</v>
      </c>
      <c r="D42" s="111">
        <f>IF(C42="",0,VLOOKUP(C42,Hilfstabelle!$A$28:$D$34,3,FALSE))</f>
        <v>0</v>
      </c>
      <c r="E42" s="111">
        <f>IF(C42="",0,VLOOKUP(C42,Hilfstabelle!$A$28:$D$34,4,FALSE))</f>
        <v>0</v>
      </c>
      <c r="F42" s="112">
        <f>IF(C42="",0,VLOOKUP(C42,Hilfstabelle!$A$28:$B$34,2,FALSE))</f>
        <v>0</v>
      </c>
      <c r="G42" s="88">
        <f>IF(AND(D42=0,E42=0),F42,IF(OR(D42="",D42=0),E42*F42,IF(OR(E42="",E42=0),D42*F42,D42*E42*F42)))*-1</f>
        <v>0</v>
      </c>
      <c r="H42" s="15"/>
      <c r="I42" s="82" t="s">
        <v>166</v>
      </c>
      <c r="S42" t="str">
        <v/>
      </c>
    </row>
    <row r="43" spans="1:19" customFormat="1" ht="45" hidden="1" customHeight="1" thickBot="1" x14ac:dyDescent="0.3">
      <c r="A43" s="178"/>
      <c r="B43" s="153"/>
      <c r="C43" s="106" t="str">
        <f>IF(C42="Sonstiges","Sonstige Verpflegungs-möglichkeiten","")</f>
        <v/>
      </c>
      <c r="D43" s="113"/>
      <c r="E43" s="146"/>
      <c r="F43" s="147"/>
      <c r="G43" s="45">
        <v>0</v>
      </c>
      <c r="H43" s="15"/>
      <c r="I43" s="84"/>
      <c r="S43" t="str">
        <v/>
      </c>
    </row>
    <row r="44" spans="1:19" customFormat="1" ht="45" hidden="1" customHeight="1" thickBot="1" x14ac:dyDescent="0.35">
      <c r="A44" s="107"/>
      <c r="B44" s="153"/>
      <c r="C44" s="110" t="s">
        <v>143</v>
      </c>
      <c r="D44" s="111">
        <f>IF(C44="",0,VLOOKUP(C44,Hilfstabelle!$A$13:$C$20,2,FALSE))</f>
        <v>0</v>
      </c>
      <c r="E44" s="114">
        <f>IF(C44="",0,VLOOKUP(C44,Hilfstabelle!$A$13:$C$20,3,FALSE))</f>
        <v>0</v>
      </c>
      <c r="F44" s="112">
        <v>0</v>
      </c>
      <c r="G44" s="88">
        <f t="shared" ref="G44:G46" si="2">IF(AND(D44=0,E44=0),F44,IF(OR(D44="",D44=0),E44*F44,IF(OR(E44="",E44=0),D44*F44,D44*E44*F44)))*-1</f>
        <v>0</v>
      </c>
      <c r="H44" s="15"/>
      <c r="I44" s="82" t="s">
        <v>167</v>
      </c>
      <c r="S44" t="str">
        <v/>
      </c>
    </row>
    <row r="45" spans="1:19" customFormat="1" ht="45" hidden="1" customHeight="1" thickBot="1" x14ac:dyDescent="0.35">
      <c r="A45" s="107"/>
      <c r="B45" s="153"/>
      <c r="C45" s="104" t="str">
        <f>IF(C44="Sonstiges","Sonstige 
Transport-möglichkeiten","")</f>
        <v/>
      </c>
      <c r="D45" s="113"/>
      <c r="E45" s="146"/>
      <c r="F45" s="147"/>
      <c r="G45" s="45">
        <v>0</v>
      </c>
      <c r="H45" s="15"/>
      <c r="I45" s="84"/>
      <c r="S45" t="str">
        <v/>
      </c>
    </row>
    <row r="46" spans="1:19" customFormat="1" ht="45" hidden="1" customHeight="1" thickBot="1" x14ac:dyDescent="0.35">
      <c r="A46" s="107"/>
      <c r="B46" s="153"/>
      <c r="C46" s="110" t="s">
        <v>144</v>
      </c>
      <c r="D46" s="111">
        <f>IF(C46="",0,VLOOKUP(C46,Hilfstabelle!$A$22:$C$26,2,FALSE))</f>
        <v>0</v>
      </c>
      <c r="E46" s="114">
        <f>IF(C46="",0,VLOOKUP(C46,Hilfstabelle!$A$22:$C$26,3,FALSE))</f>
        <v>0</v>
      </c>
      <c r="F46" s="112">
        <v>0</v>
      </c>
      <c r="G46" s="88">
        <f t="shared" si="2"/>
        <v>0</v>
      </c>
      <c r="H46" s="15"/>
      <c r="I46" s="84"/>
      <c r="S46" t="str">
        <v/>
      </c>
    </row>
    <row r="47" spans="1:19" customFormat="1" ht="45" hidden="1" customHeight="1" thickBot="1" x14ac:dyDescent="0.35">
      <c r="A47" s="107"/>
      <c r="B47" s="154"/>
      <c r="C47" s="104" t="str">
        <f>IF(C46="Sonstiges","Sonstige Übernachtungs-möglichkeiten","")</f>
        <v/>
      </c>
      <c r="D47" s="115"/>
      <c r="E47" s="148"/>
      <c r="F47" s="149"/>
      <c r="G47" s="45">
        <v>0</v>
      </c>
      <c r="H47" s="15"/>
      <c r="I47" s="84"/>
      <c r="S47" t="str">
        <v/>
      </c>
    </row>
    <row r="48" spans="1:19" customFormat="1" ht="45" hidden="1" customHeight="1" thickBot="1" x14ac:dyDescent="0.3">
      <c r="A48" s="40"/>
      <c r="B48" s="42" t="s">
        <v>60</v>
      </c>
      <c r="C48" s="91" t="s">
        <v>157</v>
      </c>
      <c r="D48" s="50"/>
      <c r="E48" s="51"/>
      <c r="F48" s="125"/>
      <c r="G48" s="52">
        <v>0</v>
      </c>
      <c r="H48" s="15"/>
      <c r="I48" s="82" t="s">
        <v>168</v>
      </c>
      <c r="S48" t="str">
        <v/>
      </c>
    </row>
    <row r="49" spans="1:19" customFormat="1" ht="45" hidden="1" customHeight="1" thickBot="1" x14ac:dyDescent="0.3">
      <c r="A49" s="46"/>
      <c r="B49" s="47" t="s">
        <v>61</v>
      </c>
      <c r="C49" s="89" t="s">
        <v>157</v>
      </c>
      <c r="D49" s="43"/>
      <c r="E49" s="44"/>
      <c r="F49" s="125"/>
      <c r="G49" s="48">
        <v>0</v>
      </c>
      <c r="H49" s="15"/>
      <c r="I49" s="15"/>
      <c r="S49" t="str">
        <v/>
      </c>
    </row>
    <row r="50" spans="1:19" customFormat="1" ht="45" hidden="1" customHeight="1" thickBot="1" x14ac:dyDescent="0.3">
      <c r="A50" s="41"/>
      <c r="B50" s="175" t="s">
        <v>13</v>
      </c>
      <c r="C50" s="89" t="s">
        <v>153</v>
      </c>
      <c r="D50" s="50"/>
      <c r="E50" s="51"/>
      <c r="F50" s="125"/>
      <c r="G50" s="45">
        <v>0</v>
      </c>
      <c r="H50" s="15"/>
      <c r="I50" s="15"/>
      <c r="S50" t="str">
        <v/>
      </c>
    </row>
    <row r="51" spans="1:19" customFormat="1" ht="45" hidden="1" customHeight="1" thickBot="1" x14ac:dyDescent="0.3">
      <c r="A51" s="41"/>
      <c r="B51" s="173"/>
      <c r="C51" s="89" t="s">
        <v>154</v>
      </c>
      <c r="D51" s="111">
        <v>0</v>
      </c>
      <c r="E51" s="121"/>
      <c r="F51" s="112">
        <v>0</v>
      </c>
      <c r="G51" s="88">
        <f t="shared" ref="G51:G53" si="3">IF(AND(D51=0,E51=0),F51,IF(OR(D51="",D51=0),E51*F51,IF(OR(E51="",E51=0),D51*F51,D51*E51*F51)))*-1</f>
        <v>0</v>
      </c>
      <c r="H51" s="15"/>
      <c r="I51" s="15"/>
      <c r="S51" t="str">
        <v/>
      </c>
    </row>
    <row r="52" spans="1:19" customFormat="1" ht="45" hidden="1" customHeight="1" thickBot="1" x14ac:dyDescent="0.3">
      <c r="A52" s="41"/>
      <c r="B52" s="173"/>
      <c r="C52" s="89" t="s">
        <v>155</v>
      </c>
      <c r="D52" s="111">
        <v>0</v>
      </c>
      <c r="E52" s="111">
        <v>0</v>
      </c>
      <c r="F52" s="112">
        <v>0</v>
      </c>
      <c r="G52" s="88">
        <f t="shared" si="3"/>
        <v>0</v>
      </c>
      <c r="H52" s="15"/>
      <c r="I52" s="15"/>
      <c r="S52" t="str">
        <v/>
      </c>
    </row>
    <row r="53" spans="1:19" customFormat="1" ht="45" hidden="1" customHeight="1" thickBot="1" x14ac:dyDescent="0.3">
      <c r="A53" s="41"/>
      <c r="B53" s="173"/>
      <c r="C53" s="90" t="s">
        <v>156</v>
      </c>
      <c r="D53" s="111">
        <v>0</v>
      </c>
      <c r="E53" s="121"/>
      <c r="F53" s="112">
        <v>0</v>
      </c>
      <c r="G53" s="88">
        <f t="shared" si="3"/>
        <v>0</v>
      </c>
      <c r="H53" s="15"/>
      <c r="I53" s="15"/>
      <c r="S53" t="str">
        <v/>
      </c>
    </row>
    <row r="54" spans="1:19" customFormat="1" ht="45" hidden="1" customHeight="1" thickBot="1" x14ac:dyDescent="0.3">
      <c r="A54" s="123"/>
      <c r="B54" s="174"/>
      <c r="C54" s="89" t="s">
        <v>157</v>
      </c>
      <c r="D54" s="50"/>
      <c r="E54" s="51"/>
      <c r="F54" s="125"/>
      <c r="G54" s="52">
        <v>0</v>
      </c>
      <c r="H54" s="15"/>
      <c r="I54" s="15"/>
      <c r="S54" t="str">
        <v/>
      </c>
    </row>
    <row r="55" spans="1:19" customFormat="1" ht="45" hidden="1" customHeight="1" thickBot="1" x14ac:dyDescent="0.35">
      <c r="A55" s="128" t="s">
        <v>11</v>
      </c>
      <c r="B55" s="173" t="s">
        <v>152</v>
      </c>
      <c r="C55" s="37" t="s">
        <v>46</v>
      </c>
      <c r="D55" s="37" t="s">
        <v>47</v>
      </c>
      <c r="E55" s="37" t="s">
        <v>117</v>
      </c>
      <c r="F55" s="80" t="s">
        <v>116</v>
      </c>
      <c r="G55" s="38" t="s">
        <v>14</v>
      </c>
      <c r="H55" s="15"/>
      <c r="I55" s="82" t="s">
        <v>43</v>
      </c>
      <c r="S55" t="str">
        <v/>
      </c>
    </row>
    <row r="56" spans="1:19" customFormat="1" ht="45" hidden="1" customHeight="1" thickBot="1" x14ac:dyDescent="0.3">
      <c r="A56" s="129">
        <f>IF(B24="","",B24)</f>
        <v>2</v>
      </c>
      <c r="B56" s="173"/>
      <c r="C56" s="103" t="s">
        <v>142</v>
      </c>
      <c r="D56" s="116" t="s">
        <v>115</v>
      </c>
      <c r="E56" s="114">
        <v>0</v>
      </c>
      <c r="F56" s="117">
        <v>0</v>
      </c>
      <c r="G56" s="102">
        <f>IF(C56="Bei Bedarf bitte auswählen",0,IF(D56="Bei Bedarf bitte auswählen",0,IF(E56=0,0,IF(F56=0,0,(VLOOKUP(D56,Hilfstabelle!$A$46:$B$141,2,FALSE)*E56*F56*-1)/O56*P56*Q56))))</f>
        <v>0</v>
      </c>
      <c r="H56" s="15"/>
      <c r="I56" s="84"/>
      <c r="O56" t="str">
        <f>IF(C56="Personalnormkosten Arbeitnehmer",196.75,IF(C56="Personalnormkosten Beamte",195.5,IF(C56="Personalnormkosten Soldaten",208.18,"")))</f>
        <v/>
      </c>
      <c r="P56">
        <f>(($F$6-$D$6)+1)</f>
        <v>306</v>
      </c>
      <c r="Q56" t="e">
        <f>O56/365</f>
        <v>#VALUE!</v>
      </c>
      <c r="S56" t="str">
        <v/>
      </c>
    </row>
    <row r="57" spans="1:19" customFormat="1" ht="45" hidden="1" customHeight="1" thickBot="1" x14ac:dyDescent="0.3">
      <c r="A57" s="178" t="s">
        <v>134</v>
      </c>
      <c r="B57" s="173"/>
      <c r="C57" s="105" t="s">
        <v>142</v>
      </c>
      <c r="D57" s="116" t="s">
        <v>115</v>
      </c>
      <c r="E57" s="114">
        <v>0</v>
      </c>
      <c r="F57" s="117">
        <v>0</v>
      </c>
      <c r="G57" s="81">
        <f>IF(C57="Bei Bedarf bitte auswählen",0,IF(D57="Bei Bedarf bitte auswählen",0,IF(E57=0,0,IF(F57=0,0,(VLOOKUP(D57,Hilfstabelle!$A$46:$B$141,2,FALSE)*E57*F57*-1)/O57*P57*Q57))))</f>
        <v>0</v>
      </c>
      <c r="H57" s="15"/>
      <c r="I57" s="84"/>
      <c r="O57" t="str">
        <f>IF(C57="Personalnormkosten Arbeitnehmer",196.75,IF(C57="Personalnormkosten Beamte",195.5,IF(C57="Personalnormkosten Soldaten",208.18,"")))</f>
        <v/>
      </c>
      <c r="P57">
        <f t="shared" ref="P57:P58" si="4">(($F$6-$D$6)+1)</f>
        <v>306</v>
      </c>
      <c r="Q57" t="e">
        <f>O57/365</f>
        <v>#VALUE!</v>
      </c>
      <c r="S57" t="str">
        <v/>
      </c>
    </row>
    <row r="58" spans="1:19" customFormat="1" ht="45" hidden="1" customHeight="1" thickBot="1" x14ac:dyDescent="0.3">
      <c r="A58" s="178"/>
      <c r="B58" s="174"/>
      <c r="C58" s="89" t="s">
        <v>142</v>
      </c>
      <c r="D58" s="118" t="s">
        <v>115</v>
      </c>
      <c r="E58" s="119">
        <v>0</v>
      </c>
      <c r="F58" s="120">
        <v>0</v>
      </c>
      <c r="G58" s="81">
        <f>IF(C58="Bei Bedarf bitte auswählen",0,IF(D58="Bei Bedarf bitte auswählen",0,IF(E58=0,0,IF(F58=0,0,(VLOOKUP(D58,Hilfstabelle!$A$46:$B$141,2,FALSE)*E58*F58*-1)/O58*P58*Q58))))</f>
        <v>0</v>
      </c>
      <c r="H58" s="15"/>
      <c r="I58" s="84"/>
      <c r="O58" t="str">
        <f>IF(C58="Personalnormkosten Arbeitnehmer",196.75,IF(C58="Personalnormkosten Beamte",195.5,IF(C58="Personalnormkosten Soldaten",208.18,"")))</f>
        <v/>
      </c>
      <c r="P58">
        <f t="shared" si="4"/>
        <v>306</v>
      </c>
      <c r="Q58" t="e">
        <f>O58/365</f>
        <v>#VALUE!</v>
      </c>
      <c r="S58" t="str">
        <v/>
      </c>
    </row>
    <row r="59" spans="1:19" customFormat="1" ht="45" hidden="1" customHeight="1" thickBot="1" x14ac:dyDescent="0.3">
      <c r="A59" s="178"/>
      <c r="B59" s="145" t="s">
        <v>151</v>
      </c>
      <c r="C59" s="37" t="s">
        <v>46</v>
      </c>
      <c r="D59" s="37" t="s">
        <v>149</v>
      </c>
      <c r="E59" s="37" t="s">
        <v>150</v>
      </c>
      <c r="F59" s="37" t="s">
        <v>136</v>
      </c>
      <c r="G59" s="122" t="s">
        <v>14</v>
      </c>
      <c r="H59" s="15"/>
      <c r="I59" s="82" t="s">
        <v>169</v>
      </c>
      <c r="S59" t="str">
        <v/>
      </c>
    </row>
    <row r="60" spans="1:19" customFormat="1" ht="45" hidden="1" customHeight="1" thickBot="1" x14ac:dyDescent="0.3">
      <c r="A60" s="178"/>
      <c r="B60" s="143"/>
      <c r="C60" s="110" t="s">
        <v>145</v>
      </c>
      <c r="D60" s="111">
        <f>IF(C60="",0,VLOOKUP(C60,Hilfstabelle!$A$28:$D$34,3,FALSE))</f>
        <v>0</v>
      </c>
      <c r="E60" s="111">
        <f>IF(C60="",0,VLOOKUP(C60,Hilfstabelle!$A$28:$D$34,4,FALSE))</f>
        <v>0</v>
      </c>
      <c r="F60" s="112">
        <f>IF(C60="",0,VLOOKUP(C60,Hilfstabelle!$A$28:$B$34,2,FALSE))</f>
        <v>0</v>
      </c>
      <c r="G60" s="88">
        <f>IF(AND(D60=0,E60=0),F60,IF(OR(D60="",D60=0),E60*F60,IF(OR(E60="",E60=0),D60*F60,D60*E60*F60)))*-1</f>
        <v>0</v>
      </c>
      <c r="H60" s="15"/>
      <c r="I60" s="82" t="s">
        <v>166</v>
      </c>
      <c r="S60" t="str">
        <v/>
      </c>
    </row>
    <row r="61" spans="1:19" customFormat="1" ht="45" hidden="1" customHeight="1" thickBot="1" x14ac:dyDescent="0.3">
      <c r="A61" s="178"/>
      <c r="B61" s="143"/>
      <c r="C61" s="106" t="str">
        <f>IF(C60="Sonstiges","Sonstige Verpflegungs-möglichkeiten","")</f>
        <v/>
      </c>
      <c r="D61" s="113"/>
      <c r="E61" s="146"/>
      <c r="F61" s="147"/>
      <c r="G61" s="45">
        <v>0</v>
      </c>
      <c r="H61" s="15"/>
      <c r="I61" s="84"/>
      <c r="S61" t="str">
        <v/>
      </c>
    </row>
    <row r="62" spans="1:19" customFormat="1" ht="45" hidden="1" customHeight="1" thickBot="1" x14ac:dyDescent="0.35">
      <c r="A62" s="134"/>
      <c r="B62" s="143"/>
      <c r="C62" s="110" t="s">
        <v>143</v>
      </c>
      <c r="D62" s="111">
        <f>IF(C62="",0,VLOOKUP(C62,Hilfstabelle!$A$13:$C$20,2,FALSE))</f>
        <v>0</v>
      </c>
      <c r="E62" s="114">
        <f>IF(C62="",0,VLOOKUP(C62,Hilfstabelle!$A$13:$C$20,3,FALSE))</f>
        <v>0</v>
      </c>
      <c r="F62" s="112">
        <v>0</v>
      </c>
      <c r="G62" s="88">
        <f t="shared" ref="G62" si="5">IF(AND(D62=0,E62=0),F62,IF(OR(D62="",D62=0),E62*F62,IF(OR(E62="",E62=0),D62*F62,D62*E62*F62)))*-1</f>
        <v>0</v>
      </c>
      <c r="H62" s="15"/>
      <c r="I62" s="82" t="s">
        <v>167</v>
      </c>
      <c r="S62" t="str">
        <v/>
      </c>
    </row>
    <row r="63" spans="1:19" customFormat="1" ht="45" hidden="1" customHeight="1" thickBot="1" x14ac:dyDescent="0.35">
      <c r="A63" s="134"/>
      <c r="B63" s="143"/>
      <c r="C63" s="104" t="str">
        <f>IF(C62="Sonstiges","Sonstige 
Transport-möglichkeiten","")</f>
        <v/>
      </c>
      <c r="D63" s="113"/>
      <c r="E63" s="146"/>
      <c r="F63" s="147"/>
      <c r="G63" s="45">
        <v>0</v>
      </c>
      <c r="H63" s="15"/>
      <c r="I63" s="84"/>
      <c r="S63" t="str">
        <v/>
      </c>
    </row>
    <row r="64" spans="1:19" customFormat="1" ht="45" hidden="1" customHeight="1" thickBot="1" x14ac:dyDescent="0.3">
      <c r="A64" s="41"/>
      <c r="B64" s="143"/>
      <c r="C64" s="110" t="s">
        <v>144</v>
      </c>
      <c r="D64" s="111">
        <f>IF(C64="",0,VLOOKUP(C64,Hilfstabelle!$A$22:$C$26,2,FALSE))</f>
        <v>0</v>
      </c>
      <c r="E64" s="114">
        <f>IF(C64="",0,VLOOKUP(C64,Hilfstabelle!$A$22:$C$26,3,FALSE))</f>
        <v>0</v>
      </c>
      <c r="F64" s="112">
        <v>0</v>
      </c>
      <c r="G64" s="88">
        <f t="shared" ref="G64" si="6">IF(AND(D64=0,E64=0),F64,IF(OR(D64="",D64=0),E64*F64,IF(OR(E64="",E64=0),D64*F64,D64*E64*F64)))*-1</f>
        <v>0</v>
      </c>
      <c r="H64" s="15"/>
      <c r="I64" s="84"/>
      <c r="S64" t="str">
        <v/>
      </c>
    </row>
    <row r="65" spans="1:19" customFormat="1" ht="45" hidden="1" customHeight="1" thickBot="1" x14ac:dyDescent="0.35">
      <c r="A65" s="39"/>
      <c r="B65" s="144"/>
      <c r="C65" s="104" t="str">
        <f>IF(C64="Sonstiges","Sonstige Übernachtungs-möglichkeiten","")</f>
        <v/>
      </c>
      <c r="D65" s="115"/>
      <c r="E65" s="148"/>
      <c r="F65" s="149"/>
      <c r="G65" s="45">
        <v>0</v>
      </c>
      <c r="H65" s="15"/>
      <c r="I65" s="84"/>
      <c r="S65" t="str">
        <v/>
      </c>
    </row>
    <row r="66" spans="1:19" customFormat="1" ht="45" hidden="1" customHeight="1" thickBot="1" x14ac:dyDescent="0.3">
      <c r="A66" s="40"/>
      <c r="B66" s="42" t="s">
        <v>60</v>
      </c>
      <c r="C66" s="91" t="s">
        <v>157</v>
      </c>
      <c r="D66" s="50"/>
      <c r="E66" s="51"/>
      <c r="F66" s="125"/>
      <c r="G66" s="52">
        <v>0</v>
      </c>
      <c r="H66" s="15"/>
      <c r="I66" s="82" t="s">
        <v>168</v>
      </c>
      <c r="S66" t="str">
        <v/>
      </c>
    </row>
    <row r="67" spans="1:19" customFormat="1" ht="45" hidden="1" customHeight="1" thickBot="1" x14ac:dyDescent="0.3">
      <c r="A67" s="53"/>
      <c r="B67" s="42" t="s">
        <v>61</v>
      </c>
      <c r="C67" s="89" t="s">
        <v>157</v>
      </c>
      <c r="D67" s="43"/>
      <c r="E67" s="44"/>
      <c r="F67" s="125"/>
      <c r="G67" s="48">
        <v>0</v>
      </c>
      <c r="H67" s="15"/>
      <c r="I67" s="15"/>
      <c r="S67" t="str">
        <v/>
      </c>
    </row>
    <row r="68" spans="1:19" customFormat="1" ht="45" hidden="1" customHeight="1" thickBot="1" x14ac:dyDescent="0.3">
      <c r="A68" s="53"/>
      <c r="B68" s="175" t="s">
        <v>13</v>
      </c>
      <c r="C68" s="89" t="s">
        <v>153</v>
      </c>
      <c r="D68" s="50"/>
      <c r="E68" s="51"/>
      <c r="F68" s="125"/>
      <c r="G68" s="45">
        <v>0</v>
      </c>
      <c r="H68" s="15"/>
      <c r="I68" s="15"/>
      <c r="S68" t="str">
        <v/>
      </c>
    </row>
    <row r="69" spans="1:19" customFormat="1" ht="45" hidden="1" customHeight="1" thickBot="1" x14ac:dyDescent="0.3">
      <c r="A69" s="130"/>
      <c r="B69" s="173"/>
      <c r="C69" s="89" t="s">
        <v>154</v>
      </c>
      <c r="D69" s="111">
        <v>0</v>
      </c>
      <c r="E69" s="121"/>
      <c r="F69" s="112">
        <v>0</v>
      </c>
      <c r="G69" s="88">
        <f t="shared" ref="G69:G71" si="7">IF(AND(D69=0,E69=0),F69,IF(OR(D69="",D69=0),E69*F69,IF(OR(E69="",E69=0),D69*F69,D69*E69*F69)))*-1</f>
        <v>0</v>
      </c>
      <c r="H69" s="15"/>
      <c r="I69" s="15"/>
      <c r="S69" t="str">
        <v/>
      </c>
    </row>
    <row r="70" spans="1:19" customFormat="1" ht="45" hidden="1" customHeight="1" thickBot="1" x14ac:dyDescent="0.3">
      <c r="A70" s="130"/>
      <c r="B70" s="173"/>
      <c r="C70" s="89" t="s">
        <v>155</v>
      </c>
      <c r="D70" s="111">
        <v>0</v>
      </c>
      <c r="E70" s="111">
        <v>0</v>
      </c>
      <c r="F70" s="112">
        <v>0</v>
      </c>
      <c r="G70" s="88">
        <f t="shared" si="7"/>
        <v>0</v>
      </c>
      <c r="H70" s="15"/>
      <c r="I70" s="15"/>
      <c r="S70" t="str">
        <v/>
      </c>
    </row>
    <row r="71" spans="1:19" customFormat="1" ht="45" hidden="1" customHeight="1" thickBot="1" x14ac:dyDescent="0.3">
      <c r="A71" s="130"/>
      <c r="B71" s="173"/>
      <c r="C71" s="90" t="s">
        <v>156</v>
      </c>
      <c r="D71" s="111">
        <v>0</v>
      </c>
      <c r="E71" s="121"/>
      <c r="F71" s="112">
        <v>0</v>
      </c>
      <c r="G71" s="88">
        <f t="shared" si="7"/>
        <v>0</v>
      </c>
      <c r="H71" s="15"/>
      <c r="I71" s="15"/>
      <c r="S71" t="str">
        <v/>
      </c>
    </row>
    <row r="72" spans="1:19" customFormat="1" ht="45" hidden="1" customHeight="1" thickBot="1" x14ac:dyDescent="0.3">
      <c r="A72" s="130"/>
      <c r="B72" s="174"/>
      <c r="C72" s="89" t="s">
        <v>157</v>
      </c>
      <c r="D72" s="50"/>
      <c r="E72" s="51"/>
      <c r="F72" s="125"/>
      <c r="G72" s="52">
        <v>0</v>
      </c>
      <c r="H72" s="15"/>
      <c r="I72" s="15"/>
      <c r="S72" t="str">
        <v/>
      </c>
    </row>
    <row r="73" spans="1:19" customFormat="1" ht="45" hidden="1" customHeight="1" thickBot="1" x14ac:dyDescent="0.35">
      <c r="A73" s="133" t="s">
        <v>11</v>
      </c>
      <c r="B73" s="173" t="s">
        <v>152</v>
      </c>
      <c r="C73" s="37" t="s">
        <v>46</v>
      </c>
      <c r="D73" s="37" t="s">
        <v>47</v>
      </c>
      <c r="E73" s="37" t="s">
        <v>117</v>
      </c>
      <c r="F73" s="80" t="s">
        <v>116</v>
      </c>
      <c r="G73" s="38" t="s">
        <v>14</v>
      </c>
      <c r="H73" s="15"/>
      <c r="I73" s="82" t="s">
        <v>43</v>
      </c>
      <c r="S73" t="str">
        <v/>
      </c>
    </row>
    <row r="74" spans="1:19" customFormat="1" ht="45" hidden="1" customHeight="1" thickBot="1" x14ac:dyDescent="0.3">
      <c r="A74" s="129">
        <f>IF(B25="","",B25)</f>
        <v>3</v>
      </c>
      <c r="B74" s="173"/>
      <c r="C74" s="103" t="s">
        <v>142</v>
      </c>
      <c r="D74" s="116" t="s">
        <v>115</v>
      </c>
      <c r="E74" s="114">
        <v>0</v>
      </c>
      <c r="F74" s="117">
        <v>0</v>
      </c>
      <c r="G74" s="102">
        <f>IF(C74="Bei Bedarf bitte auswählen",0,IF(D74="Bei Bedarf bitte auswählen",0,IF(E74=0,0,IF(F74=0,0,(VLOOKUP(D74,Hilfstabelle!$A$46:$B$141,2,FALSE)*E74*F74*-1)/O74*P74*Q74))))</f>
        <v>0</v>
      </c>
      <c r="H74" s="15"/>
      <c r="I74" s="84"/>
      <c r="O74" t="str">
        <f>IF(C74="Personalnormkosten Arbeitnehmer",196.75,IF(C74="Personalnormkosten Beamte",195.5,IF(C74="Personalnormkosten Soldaten",208.18,"")))</f>
        <v/>
      </c>
      <c r="P74">
        <f>(($F$6-$D$6)+1)</f>
        <v>306</v>
      </c>
      <c r="Q74" t="e">
        <f>O74/365</f>
        <v>#VALUE!</v>
      </c>
      <c r="S74" t="str">
        <v/>
      </c>
    </row>
    <row r="75" spans="1:19" customFormat="1" ht="45" hidden="1" customHeight="1" thickBot="1" x14ac:dyDescent="0.3">
      <c r="A75" s="178" t="s">
        <v>134</v>
      </c>
      <c r="B75" s="173"/>
      <c r="C75" s="105" t="s">
        <v>142</v>
      </c>
      <c r="D75" s="116" t="s">
        <v>115</v>
      </c>
      <c r="E75" s="114">
        <v>0</v>
      </c>
      <c r="F75" s="117">
        <v>0</v>
      </c>
      <c r="G75" s="81">
        <f>IF(C75="Bei Bedarf bitte auswählen",0,IF(D75="Bei Bedarf bitte auswählen",0,IF(E75=0,0,IF(F75=0,0,(VLOOKUP(D75,Hilfstabelle!$A$46:$B$141,2,FALSE)*E75*F75*-1)/O75*P75*Q75))))</f>
        <v>0</v>
      </c>
      <c r="H75" s="15"/>
      <c r="I75" s="84"/>
      <c r="O75" t="str">
        <f>IF(C75="Personalnormkosten Arbeitnehmer",196.75,IF(C75="Personalnormkosten Beamte",195.5,IF(C75="Personalnormkosten Soldaten",208.18,"")))</f>
        <v/>
      </c>
      <c r="P75">
        <f t="shared" ref="P75:P76" si="8">(($F$6-$D$6)+1)</f>
        <v>306</v>
      </c>
      <c r="Q75" t="e">
        <f>O75/365</f>
        <v>#VALUE!</v>
      </c>
      <c r="S75" t="str">
        <v/>
      </c>
    </row>
    <row r="76" spans="1:19" customFormat="1" ht="45" hidden="1" customHeight="1" thickBot="1" x14ac:dyDescent="0.3">
      <c r="A76" s="178"/>
      <c r="B76" s="174"/>
      <c r="C76" s="89" t="s">
        <v>142</v>
      </c>
      <c r="D76" s="118" t="s">
        <v>115</v>
      </c>
      <c r="E76" s="119">
        <v>0</v>
      </c>
      <c r="F76" s="120">
        <v>0</v>
      </c>
      <c r="G76" s="81">
        <f>IF(C76="Bei Bedarf bitte auswählen",0,IF(D76="Bei Bedarf bitte auswählen",0,IF(E76=0,0,IF(F76=0,0,(VLOOKUP(D76,Hilfstabelle!$A$46:$B$141,2,FALSE)*E76*F76*-1)/O76*P76*Q76))))</f>
        <v>0</v>
      </c>
      <c r="H76" s="15"/>
      <c r="I76" s="84"/>
      <c r="O76" t="str">
        <f>IF(C76="Personalnormkosten Arbeitnehmer",196.75,IF(C76="Personalnormkosten Beamte",195.5,IF(C76="Personalnormkosten Soldaten",208.18,"")))</f>
        <v/>
      </c>
      <c r="P76">
        <f t="shared" si="8"/>
        <v>306</v>
      </c>
      <c r="Q76" t="e">
        <f>O76/365</f>
        <v>#VALUE!</v>
      </c>
      <c r="S76" t="str">
        <v/>
      </c>
    </row>
    <row r="77" spans="1:19" customFormat="1" ht="45" hidden="1" customHeight="1" thickBot="1" x14ac:dyDescent="0.3">
      <c r="A77" s="178"/>
      <c r="B77" s="150" t="s">
        <v>151</v>
      </c>
      <c r="C77" s="37" t="s">
        <v>46</v>
      </c>
      <c r="D77" s="37" t="s">
        <v>149</v>
      </c>
      <c r="E77" s="37" t="s">
        <v>150</v>
      </c>
      <c r="F77" s="37" t="s">
        <v>136</v>
      </c>
      <c r="G77" s="122" t="s">
        <v>14</v>
      </c>
      <c r="H77" s="15"/>
      <c r="I77" s="82" t="s">
        <v>169</v>
      </c>
      <c r="S77" t="str">
        <v/>
      </c>
    </row>
    <row r="78" spans="1:19" customFormat="1" ht="45" hidden="1" customHeight="1" thickBot="1" x14ac:dyDescent="0.3">
      <c r="A78" s="178"/>
      <c r="B78" s="151"/>
      <c r="C78" s="110" t="s">
        <v>145</v>
      </c>
      <c r="D78" s="111">
        <f>IF(C78="",0,VLOOKUP(C78,Hilfstabelle!$A$28:$D$34,3,FALSE))</f>
        <v>0</v>
      </c>
      <c r="E78" s="111">
        <f>IF(C78="",0,VLOOKUP(C78,Hilfstabelle!$A$28:$D$34,4,FALSE))</f>
        <v>0</v>
      </c>
      <c r="F78" s="112">
        <f>IF(C78="",0,VLOOKUP(C78,Hilfstabelle!$A$28:$B$34,2,FALSE))</f>
        <v>0</v>
      </c>
      <c r="G78" s="88">
        <f>IF(AND(D78=0,E78=0),F78,IF(OR(D78="",D78=0),E78*F78,IF(OR(E78="",E78=0),D78*F78,D78*E78*F78)))*-1</f>
        <v>0</v>
      </c>
      <c r="H78" s="15"/>
      <c r="I78" s="82" t="s">
        <v>166</v>
      </c>
      <c r="S78" t="str">
        <v/>
      </c>
    </row>
    <row r="79" spans="1:19" customFormat="1" ht="45" hidden="1" customHeight="1" thickBot="1" x14ac:dyDescent="0.3">
      <c r="A79" s="178"/>
      <c r="B79" s="151"/>
      <c r="C79" s="106" t="str">
        <f>IF(C78="Sonstiges","Sonstige Verpflegungs-möglichkeiten","")</f>
        <v/>
      </c>
      <c r="D79" s="113"/>
      <c r="E79" s="146"/>
      <c r="F79" s="147"/>
      <c r="G79" s="45">
        <v>0</v>
      </c>
      <c r="H79" s="15"/>
      <c r="I79" s="84"/>
      <c r="S79" t="str">
        <v/>
      </c>
    </row>
    <row r="80" spans="1:19" customFormat="1" ht="45" hidden="1" customHeight="1" thickBot="1" x14ac:dyDescent="0.35">
      <c r="A80" s="134"/>
      <c r="B80" s="151"/>
      <c r="C80" s="110" t="s">
        <v>143</v>
      </c>
      <c r="D80" s="111">
        <f>IF(C80="",0,VLOOKUP(C80,Hilfstabelle!$A$13:$C$20,2,FALSE))</f>
        <v>0</v>
      </c>
      <c r="E80" s="114">
        <f>IF(C80="",0,VLOOKUP(C80,Hilfstabelle!$A$13:$C$20,3,FALSE))</f>
        <v>0</v>
      </c>
      <c r="F80" s="112">
        <v>0</v>
      </c>
      <c r="G80" s="88">
        <f t="shared" ref="G80" si="9">IF(AND(D80=0,E80=0),F80,IF(OR(D80="",D80=0),E80*F80,IF(OR(E80="",E80=0),D80*F80,D80*E80*F80)))*-1</f>
        <v>0</v>
      </c>
      <c r="H80" s="15"/>
      <c r="I80" s="82" t="s">
        <v>167</v>
      </c>
      <c r="S80" t="str">
        <v/>
      </c>
    </row>
    <row r="81" spans="1:19" customFormat="1" ht="45" hidden="1" customHeight="1" thickBot="1" x14ac:dyDescent="0.35">
      <c r="A81" s="134"/>
      <c r="B81" s="151"/>
      <c r="C81" s="104" t="str">
        <f>IF(C80="Sonstiges","Sonstige 
Transport-möglichkeiten","")</f>
        <v/>
      </c>
      <c r="D81" s="113"/>
      <c r="E81" s="146"/>
      <c r="F81" s="147"/>
      <c r="G81" s="45">
        <v>0</v>
      </c>
      <c r="H81" s="15"/>
      <c r="I81" s="84"/>
      <c r="S81" t="str">
        <v/>
      </c>
    </row>
    <row r="82" spans="1:19" customFormat="1" ht="45" hidden="1" customHeight="1" thickBot="1" x14ac:dyDescent="0.35">
      <c r="A82" s="39"/>
      <c r="B82" s="151"/>
      <c r="C82" s="110" t="s">
        <v>144</v>
      </c>
      <c r="D82" s="111">
        <f>IF(C82="",0,VLOOKUP(C82,Hilfstabelle!$A$22:$C$26,2,FALSE))</f>
        <v>0</v>
      </c>
      <c r="E82" s="114">
        <f>IF(C82="",0,VLOOKUP(C82,Hilfstabelle!$A$22:$C$26,3,FALSE))</f>
        <v>0</v>
      </c>
      <c r="F82" s="112">
        <v>0</v>
      </c>
      <c r="G82" s="88">
        <f t="shared" ref="G82" si="10">IF(AND(D82=0,E82=0),F82,IF(OR(D82="",D82=0),E82*F82,IF(OR(E82="",E82=0),D82*F82,D82*E82*F82)))*-1</f>
        <v>0</v>
      </c>
      <c r="H82" s="15"/>
      <c r="I82" s="84"/>
      <c r="S82" t="str">
        <v/>
      </c>
    </row>
    <row r="83" spans="1:19" customFormat="1" ht="45" hidden="1" customHeight="1" thickBot="1" x14ac:dyDescent="0.3">
      <c r="A83" s="40"/>
      <c r="B83" s="152"/>
      <c r="C83" s="104" t="str">
        <f>IF(C82="Sonstiges","Sonstige Übernachtungs-möglichkeiten","")</f>
        <v/>
      </c>
      <c r="D83" s="115"/>
      <c r="E83" s="148"/>
      <c r="F83" s="149"/>
      <c r="G83" s="45">
        <v>0</v>
      </c>
      <c r="H83" s="15"/>
      <c r="I83" s="84"/>
      <c r="S83" t="str">
        <v/>
      </c>
    </row>
    <row r="84" spans="1:19" customFormat="1" ht="45" hidden="1" customHeight="1" thickBot="1" x14ac:dyDescent="0.3">
      <c r="A84" s="92"/>
      <c r="B84" s="42" t="s">
        <v>60</v>
      </c>
      <c r="C84" s="91" t="s">
        <v>157</v>
      </c>
      <c r="D84" s="50"/>
      <c r="E84" s="51"/>
      <c r="F84" s="125"/>
      <c r="G84" s="52">
        <v>0</v>
      </c>
      <c r="H84" s="15"/>
      <c r="I84" s="82" t="s">
        <v>168</v>
      </c>
      <c r="S84" t="str">
        <v/>
      </c>
    </row>
    <row r="85" spans="1:19" customFormat="1" ht="45" hidden="1" customHeight="1" thickBot="1" x14ac:dyDescent="0.3">
      <c r="A85" s="130"/>
      <c r="B85" s="42" t="s">
        <v>61</v>
      </c>
      <c r="C85" s="89" t="s">
        <v>157</v>
      </c>
      <c r="D85" s="43"/>
      <c r="E85" s="44"/>
      <c r="F85" s="125"/>
      <c r="G85" s="48">
        <v>0</v>
      </c>
      <c r="H85" s="15"/>
      <c r="I85" s="15"/>
      <c r="S85" t="str">
        <v/>
      </c>
    </row>
    <row r="86" spans="1:19" customFormat="1" ht="45" hidden="1" customHeight="1" thickBot="1" x14ac:dyDescent="0.3">
      <c r="A86" s="130"/>
      <c r="B86" s="175" t="s">
        <v>13</v>
      </c>
      <c r="C86" s="89" t="s">
        <v>153</v>
      </c>
      <c r="D86" s="50"/>
      <c r="E86" s="51"/>
      <c r="F86" s="125"/>
      <c r="G86" s="45">
        <v>0</v>
      </c>
      <c r="H86" s="15"/>
      <c r="I86" s="15"/>
      <c r="S86" t="str">
        <v/>
      </c>
    </row>
    <row r="87" spans="1:19" customFormat="1" ht="45" hidden="1" customHeight="1" thickBot="1" x14ac:dyDescent="0.3">
      <c r="A87" s="130"/>
      <c r="B87" s="173"/>
      <c r="C87" s="89" t="s">
        <v>154</v>
      </c>
      <c r="D87" s="111">
        <v>0</v>
      </c>
      <c r="E87" s="121"/>
      <c r="F87" s="112">
        <v>0</v>
      </c>
      <c r="G87" s="88">
        <f t="shared" ref="G87:G89" si="11">IF(AND(D87=0,E87=0),F87,IF(OR(D87="",D87=0),E87*F87,IF(OR(E87="",E87=0),D87*F87,D87*E87*F87)))*-1</f>
        <v>0</v>
      </c>
      <c r="H87" s="15"/>
      <c r="I87" s="15"/>
      <c r="S87" t="str">
        <v/>
      </c>
    </row>
    <row r="88" spans="1:19" customFormat="1" ht="45" hidden="1" customHeight="1" thickBot="1" x14ac:dyDescent="0.3">
      <c r="A88" s="130"/>
      <c r="B88" s="173"/>
      <c r="C88" s="89" t="s">
        <v>155</v>
      </c>
      <c r="D88" s="111">
        <v>0</v>
      </c>
      <c r="E88" s="111">
        <v>0</v>
      </c>
      <c r="F88" s="112">
        <v>0</v>
      </c>
      <c r="G88" s="88">
        <f t="shared" si="11"/>
        <v>0</v>
      </c>
      <c r="H88" s="15"/>
      <c r="I88" s="15"/>
      <c r="S88" t="str">
        <v/>
      </c>
    </row>
    <row r="89" spans="1:19" customFormat="1" ht="45" hidden="1" customHeight="1" thickBot="1" x14ac:dyDescent="0.3">
      <c r="A89" s="130"/>
      <c r="B89" s="173"/>
      <c r="C89" s="90" t="s">
        <v>156</v>
      </c>
      <c r="D89" s="111">
        <v>0</v>
      </c>
      <c r="E89" s="121"/>
      <c r="F89" s="112">
        <v>0</v>
      </c>
      <c r="G89" s="88">
        <f t="shared" si="11"/>
        <v>0</v>
      </c>
      <c r="H89" s="15"/>
      <c r="I89" s="15"/>
      <c r="S89" t="str">
        <v/>
      </c>
    </row>
    <row r="90" spans="1:19" customFormat="1" ht="45" hidden="1" customHeight="1" thickBot="1" x14ac:dyDescent="0.3">
      <c r="A90" s="132"/>
      <c r="B90" s="174"/>
      <c r="C90" s="89" t="s">
        <v>157</v>
      </c>
      <c r="D90" s="50"/>
      <c r="E90" s="51"/>
      <c r="F90" s="125"/>
      <c r="G90" s="52">
        <v>0</v>
      </c>
      <c r="H90" s="15"/>
      <c r="I90" s="82" t="s">
        <v>43</v>
      </c>
      <c r="S90" t="str">
        <v/>
      </c>
    </row>
    <row r="91" spans="1:19" customFormat="1" ht="45" hidden="1" customHeight="1" thickBot="1" x14ac:dyDescent="0.35">
      <c r="A91" s="133" t="s">
        <v>11</v>
      </c>
      <c r="B91" s="173" t="s">
        <v>152</v>
      </c>
      <c r="C91" s="37" t="s">
        <v>46</v>
      </c>
      <c r="D91" s="37" t="s">
        <v>47</v>
      </c>
      <c r="E91" s="37" t="s">
        <v>117</v>
      </c>
      <c r="F91" s="80" t="s">
        <v>116</v>
      </c>
      <c r="G91" s="38" t="s">
        <v>14</v>
      </c>
      <c r="H91" s="15"/>
      <c r="I91" s="84"/>
      <c r="S91" t="str">
        <v/>
      </c>
    </row>
    <row r="92" spans="1:19" customFormat="1" ht="45" hidden="1" customHeight="1" thickBot="1" x14ac:dyDescent="0.3">
      <c r="A92" s="129">
        <f>IF(B26="","",B26)</f>
        <v>4</v>
      </c>
      <c r="B92" s="173"/>
      <c r="C92" s="103" t="s">
        <v>142</v>
      </c>
      <c r="D92" s="116" t="s">
        <v>115</v>
      </c>
      <c r="E92" s="114">
        <v>0</v>
      </c>
      <c r="F92" s="117">
        <v>0</v>
      </c>
      <c r="G92" s="102">
        <f>IF(C92="Bei Bedarf bitte auswählen",0,IF(D92="Bei Bedarf bitte auswählen",0,IF(E92=0,0,IF(F92=0,0,(VLOOKUP(D92,Hilfstabelle!$A$46:$B$141,2,FALSE)*E92*F92*-1)/O92*P92*Q92))))</f>
        <v>0</v>
      </c>
      <c r="H92" s="15"/>
      <c r="I92" s="84"/>
      <c r="O92" t="str">
        <f>IF(C92="Personalnormkosten Arbeitnehmer",196.75,IF(C92="Personalnormkosten Beamte",195.5,IF(C92="Personalnormkosten Soldaten",208.18,"")))</f>
        <v/>
      </c>
      <c r="P92">
        <f>(($F$6-$D$6)+1)</f>
        <v>306</v>
      </c>
      <c r="Q92" t="e">
        <f>O92/365</f>
        <v>#VALUE!</v>
      </c>
      <c r="S92" t="str">
        <v/>
      </c>
    </row>
    <row r="93" spans="1:19" customFormat="1" ht="45" hidden="1" customHeight="1" thickBot="1" x14ac:dyDescent="0.3">
      <c r="A93" s="178" t="s">
        <v>8</v>
      </c>
      <c r="B93" s="173"/>
      <c r="C93" s="105" t="s">
        <v>142</v>
      </c>
      <c r="D93" s="116" t="s">
        <v>115</v>
      </c>
      <c r="E93" s="114">
        <v>0</v>
      </c>
      <c r="F93" s="117">
        <v>0</v>
      </c>
      <c r="G93" s="81">
        <f>IF(C93="Bei Bedarf bitte auswählen",0,IF(D93="Bei Bedarf bitte auswählen",0,IF(E93=0,0,IF(F93=0,0,(VLOOKUP(D93,Hilfstabelle!$A$46:$B$141,2,FALSE)*E93*F93*-1)/O93*P93*Q93))))</f>
        <v>0</v>
      </c>
      <c r="H93" s="15"/>
      <c r="I93" s="84"/>
      <c r="O93" t="str">
        <f>IF(C93="Personalnormkosten Arbeitnehmer",196.75,IF(C93="Personalnormkosten Beamte",195.5,IF(C93="Personalnormkosten Soldaten",208.18,"")))</f>
        <v/>
      </c>
      <c r="P93">
        <f t="shared" ref="P93:P94" si="12">(($F$6-$D$6)+1)</f>
        <v>306</v>
      </c>
      <c r="Q93" t="e">
        <f>O93/365</f>
        <v>#VALUE!</v>
      </c>
      <c r="S93" t="str">
        <v/>
      </c>
    </row>
    <row r="94" spans="1:19" customFormat="1" ht="45" hidden="1" customHeight="1" thickBot="1" x14ac:dyDescent="0.3">
      <c r="A94" s="178"/>
      <c r="B94" s="174"/>
      <c r="C94" s="89" t="s">
        <v>142</v>
      </c>
      <c r="D94" s="118" t="s">
        <v>115</v>
      </c>
      <c r="E94" s="119">
        <v>0</v>
      </c>
      <c r="F94" s="120">
        <v>0</v>
      </c>
      <c r="G94" s="81">
        <f>IF(C94="Bei Bedarf bitte auswählen",0,IF(D94="Bei Bedarf bitte auswählen",0,IF(E94=0,0,IF(F94=0,0,(VLOOKUP(D94,Hilfstabelle!$A$46:$B$141,2,FALSE)*E94*F94*-1)/O94*P94*Q94))))</f>
        <v>0</v>
      </c>
      <c r="H94" s="15"/>
      <c r="I94" s="84"/>
      <c r="O94" t="str">
        <f>IF(C94="Personalnormkosten Arbeitnehmer",196.75,IF(C94="Personalnormkosten Beamte",195.5,IF(C94="Personalnormkosten Soldaten",208.18,"")))</f>
        <v/>
      </c>
      <c r="P94">
        <f t="shared" si="12"/>
        <v>306</v>
      </c>
      <c r="Q94" t="e">
        <f>O94/365</f>
        <v>#VALUE!</v>
      </c>
      <c r="S94" t="str">
        <v/>
      </c>
    </row>
    <row r="95" spans="1:19" customFormat="1" ht="45" hidden="1" customHeight="1" thickBot="1" x14ac:dyDescent="0.3">
      <c r="A95" s="178"/>
      <c r="B95" s="150" t="s">
        <v>151</v>
      </c>
      <c r="C95" s="37" t="s">
        <v>46</v>
      </c>
      <c r="D95" s="37" t="s">
        <v>149</v>
      </c>
      <c r="E95" s="37" t="s">
        <v>150</v>
      </c>
      <c r="F95" s="37" t="s">
        <v>136</v>
      </c>
      <c r="G95" s="122" t="s">
        <v>14</v>
      </c>
      <c r="H95" s="15"/>
      <c r="I95" s="82" t="s">
        <v>169</v>
      </c>
      <c r="S95" t="str">
        <v/>
      </c>
    </row>
    <row r="96" spans="1:19" customFormat="1" ht="45" hidden="1" customHeight="1" collapsed="1" thickBot="1" x14ac:dyDescent="0.3">
      <c r="A96" s="178"/>
      <c r="B96" s="151"/>
      <c r="C96" s="110" t="s">
        <v>145</v>
      </c>
      <c r="D96" s="111">
        <f>IF(C96="",0,VLOOKUP(C96,Hilfstabelle!$A$28:$D$34,3,FALSE))</f>
        <v>0</v>
      </c>
      <c r="E96" s="111">
        <f>IF(C96="",0,VLOOKUP(C96,Hilfstabelle!$A$28:$D$34,4,FALSE))</f>
        <v>0</v>
      </c>
      <c r="F96" s="112">
        <f>IF(C96="",0,VLOOKUP(C96,Hilfstabelle!$A$28:$B$34,2,FALSE))</f>
        <v>0</v>
      </c>
      <c r="G96" s="88">
        <f>IF(AND(D96=0,E96=0),F96,IF(OR(D96="",D96=0),E96*F96,IF(OR(E96="",E96=0),D96*F96,D96*E96*F96)))*-1</f>
        <v>0</v>
      </c>
      <c r="H96" s="15"/>
      <c r="I96" s="82" t="s">
        <v>166</v>
      </c>
      <c r="S96" t="str">
        <v/>
      </c>
    </row>
    <row r="97" spans="1:19" customFormat="1" ht="45" hidden="1" customHeight="1" thickBot="1" x14ac:dyDescent="0.3">
      <c r="A97" s="178"/>
      <c r="B97" s="151"/>
      <c r="C97" s="106" t="str">
        <f>IF(C96="Sonstiges","Sonstige Verpflegungs-möglichkeiten","")</f>
        <v/>
      </c>
      <c r="D97" s="113"/>
      <c r="E97" s="146"/>
      <c r="F97" s="147"/>
      <c r="G97" s="45">
        <v>0</v>
      </c>
      <c r="H97" s="15"/>
      <c r="I97" s="84"/>
      <c r="S97" t="str">
        <v/>
      </c>
    </row>
    <row r="98" spans="1:19" customFormat="1" ht="45" hidden="1" customHeight="1" thickBot="1" x14ac:dyDescent="0.35">
      <c r="A98" s="39"/>
      <c r="B98" s="151"/>
      <c r="C98" s="110" t="s">
        <v>143</v>
      </c>
      <c r="D98" s="111">
        <f>IF(C98="",0,VLOOKUP(C98,Hilfstabelle!$A$13:$C$20,2,FALSE))</f>
        <v>0</v>
      </c>
      <c r="E98" s="114">
        <f>IF(C98="",0,VLOOKUP(C98,Hilfstabelle!$A$13:$C$20,3,FALSE))</f>
        <v>0</v>
      </c>
      <c r="F98" s="112">
        <v>0</v>
      </c>
      <c r="G98" s="88">
        <f t="shared" ref="G98" si="13">IF(AND(D98=0,E98=0),F98,IF(OR(D98="",D98=0),E98*F98,IF(OR(E98="",E98=0),D98*F98,D98*E98*F98)))*-1</f>
        <v>0</v>
      </c>
      <c r="H98" s="15"/>
      <c r="I98" s="82" t="s">
        <v>167</v>
      </c>
      <c r="S98" t="str">
        <v/>
      </c>
    </row>
    <row r="99" spans="1:19" customFormat="1" ht="45" hidden="1" customHeight="1" thickBot="1" x14ac:dyDescent="0.3">
      <c r="A99" s="40"/>
      <c r="B99" s="151"/>
      <c r="C99" s="104" t="str">
        <f>IF(C98="Sonstiges","Sonstige 
Transport-möglichkeiten","")</f>
        <v/>
      </c>
      <c r="D99" s="113"/>
      <c r="E99" s="146"/>
      <c r="F99" s="147"/>
      <c r="G99" s="45">
        <v>0</v>
      </c>
      <c r="H99" s="15"/>
      <c r="I99" s="84"/>
      <c r="S99" t="str">
        <v/>
      </c>
    </row>
    <row r="100" spans="1:19" customFormat="1" ht="45" hidden="1" customHeight="1" thickBot="1" x14ac:dyDescent="0.3">
      <c r="A100" s="185"/>
      <c r="B100" s="151"/>
      <c r="C100" s="110" t="s">
        <v>144</v>
      </c>
      <c r="D100" s="111">
        <f>IF(C100="",0,VLOOKUP(C100,Hilfstabelle!$A$22:$C$26,2,FALSE))</f>
        <v>0</v>
      </c>
      <c r="E100" s="114">
        <f>IF(C100="",0,VLOOKUP(C100,Hilfstabelle!$A$22:$C$26,3,FALSE))</f>
        <v>0</v>
      </c>
      <c r="F100" s="112">
        <v>0</v>
      </c>
      <c r="G100" s="88">
        <f t="shared" ref="G100" si="14">IF(AND(D100=0,E100=0),F100,IF(OR(D100="",D100=0),E100*F100,IF(OR(E100="",E100=0),D100*F100,D100*E100*F100)))*-1</f>
        <v>0</v>
      </c>
      <c r="H100" s="15"/>
      <c r="I100" s="84"/>
      <c r="S100" t="str">
        <v/>
      </c>
    </row>
    <row r="101" spans="1:19" customFormat="1" ht="45" hidden="1" customHeight="1" thickBot="1" x14ac:dyDescent="0.3">
      <c r="A101" s="185"/>
      <c r="B101" s="152"/>
      <c r="C101" s="104" t="str">
        <f>IF(C100="Sonstiges","Sonstige Übernachtungs-möglichkeiten","")</f>
        <v/>
      </c>
      <c r="D101" s="115"/>
      <c r="E101" s="148"/>
      <c r="F101" s="149"/>
      <c r="G101" s="45">
        <v>0</v>
      </c>
      <c r="H101" s="15"/>
      <c r="I101" s="84"/>
      <c r="S101" t="str">
        <v/>
      </c>
    </row>
    <row r="102" spans="1:19" customFormat="1" ht="45" hidden="1" customHeight="1" thickBot="1" x14ac:dyDescent="0.3">
      <c r="A102" s="130"/>
      <c r="B102" s="42" t="s">
        <v>60</v>
      </c>
      <c r="C102" s="91" t="s">
        <v>157</v>
      </c>
      <c r="D102" s="50"/>
      <c r="E102" s="51"/>
      <c r="F102" s="125"/>
      <c r="G102" s="52">
        <v>0</v>
      </c>
      <c r="H102" s="15"/>
      <c r="I102" s="82" t="s">
        <v>168</v>
      </c>
      <c r="S102" t="str">
        <v/>
      </c>
    </row>
    <row r="103" spans="1:19" customFormat="1" ht="45" hidden="1" customHeight="1" thickBot="1" x14ac:dyDescent="0.3">
      <c r="A103" s="130"/>
      <c r="B103" s="42" t="s">
        <v>61</v>
      </c>
      <c r="C103" s="89" t="s">
        <v>157</v>
      </c>
      <c r="D103" s="43"/>
      <c r="E103" s="44"/>
      <c r="F103" s="125"/>
      <c r="G103" s="48">
        <v>0</v>
      </c>
      <c r="H103" s="15"/>
      <c r="I103" s="15"/>
      <c r="S103" t="str">
        <v/>
      </c>
    </row>
    <row r="104" spans="1:19" customFormat="1" ht="45" hidden="1" customHeight="1" thickBot="1" x14ac:dyDescent="0.3">
      <c r="A104" s="130"/>
      <c r="B104" s="175" t="s">
        <v>13</v>
      </c>
      <c r="C104" s="89" t="s">
        <v>153</v>
      </c>
      <c r="D104" s="50"/>
      <c r="E104" s="51"/>
      <c r="F104" s="125"/>
      <c r="G104" s="45">
        <v>0</v>
      </c>
      <c r="H104" s="15"/>
      <c r="I104" s="15"/>
      <c r="S104" t="str">
        <v/>
      </c>
    </row>
    <row r="105" spans="1:19" customFormat="1" ht="45" hidden="1" customHeight="1" thickBot="1" x14ac:dyDescent="0.3">
      <c r="A105" s="130"/>
      <c r="B105" s="173"/>
      <c r="C105" s="89" t="s">
        <v>154</v>
      </c>
      <c r="D105" s="111">
        <v>0</v>
      </c>
      <c r="E105" s="121"/>
      <c r="F105" s="112">
        <v>0</v>
      </c>
      <c r="G105" s="88">
        <f t="shared" ref="G105" si="15">IF(AND(D105=0,E105=0),F105,IF(OR(D105="",D105=0),E105*F105,IF(OR(E105="",E105=0),D105*F105,D105*E105*F105)))*-1</f>
        <v>0</v>
      </c>
      <c r="H105" s="15"/>
      <c r="I105" s="15"/>
      <c r="S105" t="str">
        <v/>
      </c>
    </row>
    <row r="106" spans="1:19" customFormat="1" ht="45" hidden="1" customHeight="1" thickBot="1" x14ac:dyDescent="0.3">
      <c r="A106" s="130"/>
      <c r="B106" s="173"/>
      <c r="C106" s="89" t="s">
        <v>155</v>
      </c>
      <c r="D106" s="111">
        <v>0</v>
      </c>
      <c r="E106" s="111">
        <v>0</v>
      </c>
      <c r="F106" s="112">
        <v>0</v>
      </c>
      <c r="G106" s="88">
        <f>IF(AND(D106=0,E106=0),F106,IF(OR(D106="",D106=0),E106*F106,IF(OR(E106="",E106=0),D106*F106,D106*E106*F106)))*-1</f>
        <v>0</v>
      </c>
      <c r="H106" s="15"/>
      <c r="I106" s="15"/>
      <c r="S106" t="str">
        <v/>
      </c>
    </row>
    <row r="107" spans="1:19" customFormat="1" ht="45" hidden="1" customHeight="1" thickBot="1" x14ac:dyDescent="0.3">
      <c r="A107" s="130"/>
      <c r="B107" s="173"/>
      <c r="C107" s="90" t="s">
        <v>156</v>
      </c>
      <c r="D107" s="111">
        <v>0</v>
      </c>
      <c r="E107" s="121"/>
      <c r="F107" s="112">
        <v>0</v>
      </c>
      <c r="G107" s="88">
        <f>IF(AND(D107=0,E107=0),F107,IF(OR(D107="",D107=0),E107*F107,IF(OR(E107="",E107=0),D107*F107,D107*E107*F107)))*-1</f>
        <v>0</v>
      </c>
      <c r="H107" s="15"/>
      <c r="I107" s="15"/>
      <c r="S107" t="str">
        <v/>
      </c>
    </row>
    <row r="108" spans="1:19" customFormat="1" ht="45" hidden="1" customHeight="1" thickBot="1" x14ac:dyDescent="0.3">
      <c r="A108" s="131"/>
      <c r="B108" s="174"/>
      <c r="C108" s="89" t="s">
        <v>157</v>
      </c>
      <c r="D108" s="50"/>
      <c r="E108" s="51"/>
      <c r="F108" s="125"/>
      <c r="G108" s="52">
        <v>0</v>
      </c>
      <c r="H108" s="15"/>
      <c r="I108" s="15"/>
      <c r="S108" t="str">
        <v/>
      </c>
    </row>
    <row r="109" spans="1:19" customFormat="1" ht="20.100000000000001" customHeight="1" thickBot="1" x14ac:dyDescent="0.3">
      <c r="A109" s="179" t="s">
        <v>29</v>
      </c>
      <c r="B109" s="180"/>
      <c r="C109" s="180"/>
      <c r="D109" s="180"/>
      <c r="E109" s="180"/>
      <c r="F109" s="180"/>
      <c r="G109" s="181"/>
      <c r="H109" s="15"/>
      <c r="I109" s="15"/>
      <c r="S109" t="str">
        <v/>
      </c>
    </row>
    <row r="110" spans="1:19" customFormat="1" ht="15" hidden="1" customHeight="1" thickBot="1" x14ac:dyDescent="0.3">
      <c r="A110" s="182" t="s">
        <v>11</v>
      </c>
      <c r="B110" s="183"/>
      <c r="C110" s="184"/>
      <c r="D110" s="49">
        <f>IF(B$23="","",B$23)</f>
        <v>1</v>
      </c>
      <c r="E110" s="49">
        <f>IF(B24="","",B24)</f>
        <v>2</v>
      </c>
      <c r="F110" s="49">
        <f>IF(B25="","",B25)</f>
        <v>3</v>
      </c>
      <c r="G110" s="54">
        <f>IF(B26="","",B26)</f>
        <v>4</v>
      </c>
      <c r="H110" s="15"/>
      <c r="I110" s="15"/>
      <c r="S110" t="str">
        <v/>
      </c>
    </row>
    <row r="111" spans="1:19" customFormat="1" ht="35.1" hidden="1" customHeight="1" x14ac:dyDescent="0.25">
      <c r="A111" s="167" t="s">
        <v>158</v>
      </c>
      <c r="B111" s="168"/>
      <c r="C111" s="127" t="s">
        <v>121</v>
      </c>
      <c r="D111" s="55" t="str">
        <f>IF(SUM(G38:G40)=0,"",SUM(G38:G40))</f>
        <v/>
      </c>
      <c r="E111" s="55" t="str">
        <f>IF(SUM(G56:G58)=0,"",SUM(G56:G58))</f>
        <v/>
      </c>
      <c r="F111" s="55" t="str">
        <f>IF(SUM(G74:G76)=0,"",SUM(G74:G76))</f>
        <v/>
      </c>
      <c r="G111" s="56" t="str">
        <f>IF(SUM(G92:G94)=0,"",SUM(G92:G94))</f>
        <v/>
      </c>
      <c r="H111" s="15"/>
      <c r="I111" s="15"/>
      <c r="S111" t="str">
        <v/>
      </c>
    </row>
    <row r="112" spans="1:19" customFormat="1" ht="35.1" hidden="1" customHeight="1" x14ac:dyDescent="0.25">
      <c r="A112" s="169"/>
      <c r="B112" s="170"/>
      <c r="C112" s="126" t="s">
        <v>6</v>
      </c>
      <c r="D112" s="58" t="str">
        <f>IF(VLOOKUP(C42,Hilfstabelle!$A$28:$H$34,5,FALSE)=0,"",VLOOKUP(C42,Hilfstabelle!$A$28:$H$34,5,FALSE))</f>
        <v/>
      </c>
      <c r="E112" s="58" t="str">
        <f>IF(VLOOKUP(C60,Hilfstabelle!$A$28:$H$34,6,FALSE)=0,"",VLOOKUP(C60,Hilfstabelle!$A$28:$H$34,6,FALSE))</f>
        <v/>
      </c>
      <c r="F112" s="59" t="str">
        <f>IF(VLOOKUP(C78,Hilfstabelle!$A$28:$H$34,7,FALSE)=0,"",VLOOKUP(C78,Hilfstabelle!$A$28:$H$34,7,FALSE))</f>
        <v/>
      </c>
      <c r="G112" s="60" t="str">
        <f>IF(VLOOKUP(C96,Hilfstabelle!$A$28:$H$34,8,FALSE)=0,"",VLOOKUP(C96,Hilfstabelle!$A$28:$H$34,8,FALSE))</f>
        <v/>
      </c>
      <c r="H112" s="15"/>
      <c r="I112" s="15"/>
      <c r="S112" t="str">
        <v/>
      </c>
    </row>
    <row r="113" spans="1:19" customFormat="1" ht="35.1" hidden="1" customHeight="1" x14ac:dyDescent="0.25">
      <c r="A113" s="169"/>
      <c r="B113" s="170"/>
      <c r="C113" s="57" t="s">
        <v>7</v>
      </c>
      <c r="D113" s="136" t="str">
        <f>IF(VLOOKUP(C44,Hilfstabelle!$A$13:$H$20,5,FALSE)=0,"",VLOOKUP(C44,Hilfstabelle!$A$13:$H$20,5,FALSE))</f>
        <v/>
      </c>
      <c r="E113" s="58" t="str">
        <f>IF(VLOOKUP(C62,Hilfstabelle!$A$13:$H$20,6,FALSE)=0,"",VLOOKUP(C62,Hilfstabelle!$A$13:$H$20,6,FALSE))</f>
        <v/>
      </c>
      <c r="F113" s="137" t="str">
        <f>IF(VLOOKUP(C80,Hilfstabelle!$A$13:$H$20,7,FALSE)=0,"",VLOOKUP(C80,Hilfstabelle!$A$13:$H$20,7,FALSE))</f>
        <v/>
      </c>
      <c r="G113" s="138" t="str">
        <f>IF(VLOOKUP(C98,Hilfstabelle!$A$13:$H$20,8,FALSE)=0,"",VLOOKUP(C98,Hilfstabelle!$A$13:$H$20,8,FALSE))</f>
        <v/>
      </c>
      <c r="H113" s="15"/>
      <c r="I113" s="15"/>
      <c r="S113" t="str">
        <v/>
      </c>
    </row>
    <row r="114" spans="1:19" customFormat="1" ht="35.1" hidden="1" customHeight="1" thickBot="1" x14ac:dyDescent="0.3">
      <c r="A114" s="171"/>
      <c r="B114" s="172"/>
      <c r="C114" s="124" t="s">
        <v>141</v>
      </c>
      <c r="D114" s="135" t="str">
        <f>IF(VLOOKUP(C46,Hilfstabelle!$A$22:$H$26,5,FALSE)=0,"",VLOOKUP(C46,Hilfstabelle!$A$22:$H$26,5,FALSE))</f>
        <v/>
      </c>
      <c r="E114" s="135" t="str">
        <f>IF(VLOOKUP(C64,Hilfstabelle!$A$22:$H$26,6,FALSE)=0,"",VLOOKUP(C64,Hilfstabelle!$A$22:$H$26,6,FALSE))</f>
        <v/>
      </c>
      <c r="F114" s="135" t="str">
        <f>IF(VLOOKUP(C82,Hilfstabelle!$A$22:$H$26,7,FALSE)=0,"",VLOOKUP(C82,Hilfstabelle!$A$22:$H$26,7,FALSE))</f>
        <v/>
      </c>
      <c r="G114" s="139" t="str">
        <f>IF(VLOOKUP(C100,Hilfstabelle!$A$22:$H$26,8,FALSE)=0,"",VLOOKUP(C100,Hilfstabelle!$A$22:$H$26,8,FALSE))</f>
        <v/>
      </c>
      <c r="H114" s="15"/>
      <c r="I114" s="15"/>
      <c r="S114" t="str">
        <v/>
      </c>
    </row>
    <row r="115" spans="1:19" customFormat="1" ht="35.1" hidden="1" customHeight="1" thickBot="1" x14ac:dyDescent="0.3">
      <c r="A115" s="61" t="s">
        <v>62</v>
      </c>
      <c r="B115" s="17"/>
      <c r="C115" s="91" t="s">
        <v>157</v>
      </c>
      <c r="D115" s="62" t="str">
        <f>IF(G48=0,"",IF(G48="","",IF(G48&gt;0,G48*-1,G48)))</f>
        <v/>
      </c>
      <c r="E115" s="62" t="str">
        <f>IF(G66=0,"",IF(G66="","",IF(G66&gt;0,G66*-1,G66)))</f>
        <v/>
      </c>
      <c r="F115" s="62" t="str">
        <f>IF(G84=0,"",IF(G84="","",IF(G84&gt;0,G84*-1,G84)))</f>
        <v/>
      </c>
      <c r="G115" s="140" t="str">
        <f>IF(G102=0,"",IF(G102="","",IF(G102&gt;0,G102*-1,G102)))</f>
        <v/>
      </c>
      <c r="H115" s="15"/>
      <c r="I115" s="15"/>
      <c r="S115" t="str">
        <v/>
      </c>
    </row>
    <row r="116" spans="1:19" customFormat="1" ht="35.1" hidden="1" customHeight="1" thickBot="1" x14ac:dyDescent="0.3">
      <c r="A116" s="61" t="s">
        <v>63</v>
      </c>
      <c r="B116" s="17"/>
      <c r="C116" s="89" t="s">
        <v>157</v>
      </c>
      <c r="D116" s="62" t="str">
        <f>IF(G49=0,"",IF(G49="","",IF(G49&gt;0,G49*-1,G49)))</f>
        <v/>
      </c>
      <c r="E116" s="62" t="str">
        <f>IF(G67=0,"",IF(G67="","",IF(G67&gt;0,G67*-1,G67)))</f>
        <v/>
      </c>
      <c r="F116" s="62" t="str">
        <f>IF(G85=0,"",IF(G85="","",IF(G85&gt;0,G85*-1,G85)))</f>
        <v/>
      </c>
      <c r="G116" s="140" t="str">
        <f>IF(G103=0,"",IF(G103="","",IF(G103&gt;0,G103*-1,G103)))</f>
        <v/>
      </c>
      <c r="H116" s="15"/>
      <c r="I116" s="15"/>
      <c r="S116" t="str">
        <v/>
      </c>
    </row>
    <row r="117" spans="1:19" customFormat="1" ht="35.1" hidden="1" customHeight="1" x14ac:dyDescent="0.25">
      <c r="A117" s="167" t="s">
        <v>52</v>
      </c>
      <c r="B117" s="192"/>
      <c r="C117" s="156" t="s">
        <v>153</v>
      </c>
      <c r="D117" s="63" t="str">
        <f>IF(G50&gt;0,G50*-1,IF(G50&lt;0,G50,""))</f>
        <v/>
      </c>
      <c r="E117" s="63" t="str">
        <f>IF(G68&gt;0,G68*-1,IF(G68&lt;0,G68,""))</f>
        <v/>
      </c>
      <c r="F117" s="63" t="str">
        <f>IF(G86&gt;0,G86*-1,IF(G86&lt;0,G86,""))</f>
        <v/>
      </c>
      <c r="G117" s="56" t="str">
        <f>IF(G104&gt;0,G104*-1,IF(G104&lt;0,G104,""))</f>
        <v/>
      </c>
      <c r="H117" s="15"/>
      <c r="I117" s="15"/>
      <c r="S117" t="str">
        <v/>
      </c>
    </row>
    <row r="118" spans="1:19" customFormat="1" ht="35.1" hidden="1" customHeight="1" x14ac:dyDescent="0.25">
      <c r="A118" s="169"/>
      <c r="B118" s="193"/>
      <c r="C118" s="157" t="s">
        <v>154</v>
      </c>
      <c r="D118" s="64" t="str">
        <f t="shared" ref="D118:D120" si="16">IF(G51&lt;0,G51,"")</f>
        <v/>
      </c>
      <c r="E118" s="64" t="str">
        <f t="shared" ref="E118:E120" si="17">IF(G69&lt;0,G69,"")</f>
        <v/>
      </c>
      <c r="F118" s="64" t="str">
        <f t="shared" ref="F118:F120" si="18">IF(G87&lt;0,G87,"")</f>
        <v/>
      </c>
      <c r="G118" s="138" t="str">
        <f t="shared" ref="G118:G120" si="19">IF(G105&lt;0,G105,"")</f>
        <v/>
      </c>
      <c r="H118" s="15"/>
      <c r="I118" s="15"/>
      <c r="S118" t="str">
        <v/>
      </c>
    </row>
    <row r="119" spans="1:19" customFormat="1" ht="35.1" hidden="1" customHeight="1" x14ac:dyDescent="0.25">
      <c r="A119" s="169"/>
      <c r="B119" s="193"/>
      <c r="C119" s="157" t="s">
        <v>155</v>
      </c>
      <c r="D119" s="64" t="str">
        <f t="shared" si="16"/>
        <v/>
      </c>
      <c r="E119" s="64" t="str">
        <f t="shared" si="17"/>
        <v/>
      </c>
      <c r="F119" s="64" t="str">
        <f t="shared" si="18"/>
        <v/>
      </c>
      <c r="G119" s="138" t="str">
        <f t="shared" si="19"/>
        <v/>
      </c>
      <c r="H119" s="15"/>
      <c r="I119" s="15"/>
      <c r="S119" t="str">
        <v/>
      </c>
    </row>
    <row r="120" spans="1:19" customFormat="1" ht="35.1" hidden="1" customHeight="1" x14ac:dyDescent="0.25">
      <c r="A120" s="169"/>
      <c r="B120" s="193"/>
      <c r="C120" s="158" t="s">
        <v>156</v>
      </c>
      <c r="D120" s="64" t="str">
        <f t="shared" si="16"/>
        <v/>
      </c>
      <c r="E120" s="64" t="str">
        <f t="shared" si="17"/>
        <v/>
      </c>
      <c r="F120" s="64" t="str">
        <f t="shared" si="18"/>
        <v/>
      </c>
      <c r="G120" s="138" t="str">
        <f t="shared" si="19"/>
        <v/>
      </c>
      <c r="H120" s="15"/>
      <c r="I120" s="15"/>
      <c r="S120" t="str">
        <v/>
      </c>
    </row>
    <row r="121" spans="1:19" customFormat="1" ht="35.1" hidden="1" customHeight="1" thickBot="1" x14ac:dyDescent="0.3">
      <c r="A121" s="171"/>
      <c r="B121" s="194"/>
      <c r="C121" s="159" t="s">
        <v>157</v>
      </c>
      <c r="D121" s="65" t="str">
        <f>IF(G54=0,"",IF(G54="","",IF(G54&gt;0,G54*-1,G54)))</f>
        <v/>
      </c>
      <c r="E121" s="65" t="str">
        <f>IF(G72=0,"",IF(G72="","",IF(G72&gt;0,G72*-1,G72)))</f>
        <v/>
      </c>
      <c r="F121" s="65" t="str">
        <f>IF(G90=0,"",IF(G90="","",IF(G90&gt;0,G90*-1,G90)))</f>
        <v/>
      </c>
      <c r="G121" s="141" t="str">
        <f>IF(G108=0,"",IF(G108="","",IF(G108&gt;0,G108*-1,G108)))</f>
        <v/>
      </c>
      <c r="H121" s="15"/>
      <c r="I121" s="15"/>
      <c r="S121" t="str">
        <v/>
      </c>
    </row>
    <row r="122" spans="1:19" customFormat="1" ht="15.75" hidden="1" customHeight="1" thickBot="1" x14ac:dyDescent="0.3">
      <c r="A122" s="195" t="s">
        <v>32</v>
      </c>
      <c r="B122" s="196"/>
      <c r="C122" s="197"/>
      <c r="D122" s="66" t="str">
        <f>IF(SUM(D111:D121)&lt;0,SUM(D111:D121),"")</f>
        <v/>
      </c>
      <c r="E122" s="66" t="str">
        <f>IF(SUM(E111:E121)&lt;0,SUM(E111:E121),"")</f>
        <v/>
      </c>
      <c r="F122" s="66" t="str">
        <f>IF(SUM(F111:F121)&lt;0,SUM(F111:F121),"")</f>
        <v/>
      </c>
      <c r="G122" s="66" t="str">
        <f>IF(SUM(G111:G121)&lt;0,SUM(G111:G121),"")</f>
        <v/>
      </c>
      <c r="H122" s="15"/>
      <c r="I122" s="15"/>
      <c r="S122" t="str">
        <v/>
      </c>
    </row>
    <row r="123" spans="1:19" customFormat="1" ht="20.100000000000001" customHeight="1" thickBot="1" x14ac:dyDescent="0.3">
      <c r="A123" s="179" t="s">
        <v>9</v>
      </c>
      <c r="B123" s="180"/>
      <c r="C123" s="180"/>
      <c r="D123" s="180"/>
      <c r="E123" s="180"/>
      <c r="F123" s="180"/>
      <c r="G123" s="181"/>
      <c r="H123" s="15"/>
      <c r="I123" s="15"/>
    </row>
    <row r="124" spans="1:19" customFormat="1" ht="42.75" hidden="1" customHeight="1" thickBot="1" x14ac:dyDescent="0.3">
      <c r="A124" s="67"/>
      <c r="B124" s="202" t="s">
        <v>27</v>
      </c>
      <c r="C124" s="202"/>
      <c r="D124" s="202"/>
      <c r="E124" s="203"/>
      <c r="F124" s="49" t="s">
        <v>25</v>
      </c>
      <c r="G124" s="38" t="s">
        <v>15</v>
      </c>
      <c r="H124" s="15"/>
      <c r="I124" s="82" t="s">
        <v>44</v>
      </c>
    </row>
    <row r="125" spans="1:19" customFormat="1" ht="52.5" hidden="1" customHeight="1" thickBot="1" x14ac:dyDescent="0.45">
      <c r="A125" s="189" t="s">
        <v>164</v>
      </c>
      <c r="B125" s="190"/>
      <c r="C125" s="190"/>
      <c r="D125" s="190"/>
      <c r="E125" s="191"/>
      <c r="F125" s="68">
        <v>0</v>
      </c>
      <c r="G125" s="69">
        <v>0</v>
      </c>
      <c r="H125" s="15"/>
      <c r="I125" s="85"/>
    </row>
    <row r="126" spans="1:19" customFormat="1" ht="52.5" hidden="1" customHeight="1" thickBot="1" x14ac:dyDescent="0.45">
      <c r="A126" s="189" t="s">
        <v>165</v>
      </c>
      <c r="B126" s="190"/>
      <c r="C126" s="190"/>
      <c r="D126" s="190"/>
      <c r="E126" s="191"/>
      <c r="F126" s="68">
        <v>0</v>
      </c>
      <c r="G126" s="69">
        <v>0</v>
      </c>
      <c r="H126" s="15"/>
      <c r="I126" s="15"/>
    </row>
    <row r="127" spans="1:19" customFormat="1" ht="20.100000000000001" customHeight="1" thickBot="1" x14ac:dyDescent="0.3">
      <c r="A127" s="179" t="s">
        <v>34</v>
      </c>
      <c r="B127" s="180"/>
      <c r="C127" s="180"/>
      <c r="D127" s="180"/>
      <c r="E127" s="180"/>
      <c r="F127" s="180"/>
      <c r="G127" s="181"/>
      <c r="H127" s="15"/>
      <c r="I127" s="15"/>
    </row>
    <row r="128" spans="1:19" customFormat="1" ht="15.75" hidden="1" customHeight="1" thickBot="1" x14ac:dyDescent="0.3">
      <c r="A128" s="195" t="s">
        <v>64</v>
      </c>
      <c r="B128" s="196"/>
      <c r="C128" s="196"/>
      <c r="D128" s="66" t="str">
        <f>D122</f>
        <v/>
      </c>
      <c r="E128" s="66" t="str">
        <f>E122</f>
        <v/>
      </c>
      <c r="F128" s="66" t="str">
        <f>F122</f>
        <v/>
      </c>
      <c r="G128" s="66" t="str">
        <f>G122</f>
        <v/>
      </c>
      <c r="H128" s="15"/>
      <c r="I128" s="15"/>
    </row>
    <row r="129" spans="1:9" customFormat="1" ht="24" hidden="1" customHeight="1" thickBot="1" x14ac:dyDescent="0.3">
      <c r="A129" s="167" t="s">
        <v>31</v>
      </c>
      <c r="B129" s="168"/>
      <c r="C129" s="70" t="s">
        <v>30</v>
      </c>
      <c r="D129" s="73" t="str">
        <f>IF($D$128="","",IF(AND(L125="",$F$125=0,$G$125=0),"",IF(AND($F$125=0,$G$125=0),"",IF(AND(L125="wahr",$F$125&gt;0),($F$125*$G$125)*-1,IF(AND(L125="wahr",$F$125&lt;0),$F$125*$G$125,"")))))</f>
        <v/>
      </c>
      <c r="E129" s="73" t="str">
        <f>IF($E$128="","",IF(AND(M125="",$F$125=0,$G$125=0),"",IF(AND($F$125=0,$G$125=0),"",IF(AND(M125="wahr",$F$125&gt;0),($F$125*$G$125)*-1,IF(AND(M125="wahr",$F$125&lt;0),$F$125*$G$125,"")))))</f>
        <v/>
      </c>
      <c r="F129" s="73" t="str">
        <f>IF($F$128="","",IF(AND(J125="",$F$125=0,$G$126=0),"",IF(AND($F$125=0,$G$125=0),"",IF(AND(J125="wahr",$F$125&gt;0),($F$125*$G$125)*-1,IF(AND(J125="wahr",$F$125&lt;0),$F$125*$G$125,"")))))</f>
        <v/>
      </c>
      <c r="G129" s="71" t="str">
        <f>IF($G$128="","",IF(AND(K125="",$F$125=0,$G$125=0),"",IF(AND($F$125=0,$G$125=0),"",IF(AND(K125="wahr",$F$125&gt;0),($F$125*$G$125)*-1,IF(AND(K125="wahr",$F$125&lt;0),$F$125*$G$125,"")))))</f>
        <v/>
      </c>
      <c r="H129" s="15"/>
      <c r="I129" s="15"/>
    </row>
    <row r="130" spans="1:9" customFormat="1" ht="24" hidden="1" customHeight="1" thickBot="1" x14ac:dyDescent="0.3">
      <c r="A130" s="171"/>
      <c r="B130" s="172"/>
      <c r="C130" s="72" t="s">
        <v>37</v>
      </c>
      <c r="D130" s="73" t="str">
        <f>IF($D$128="","",IF(AND(L126="",$F$126=0,$G$126=0),"",IF(AND($F$126=0,$G$126=0),"",IF(AND(L126="wahr",$F$126&gt;0),($F$126*$G$126)*-1,IF(AND(L126="wahr",$F$126&lt;0),$F$126*$G$126,"")))))</f>
        <v/>
      </c>
      <c r="E130" s="73" t="str">
        <f>IF($E$128="","",IF(AND(M126="",$F$126=0,$G$126=0),"",IF(AND($F$126=0,$G$126=0),"",IF(AND(M126="wahr",$F$126&gt;0),($F$126*$G$126)*-1,IF(AND(M126="wahr",$F$126&lt;0),$F$126*$G$126,"")))))</f>
        <v/>
      </c>
      <c r="F130" s="73" t="str">
        <f>IF($F$128="","",IF(AND(J126="",$F$126=0,$G$126=0),"",IF(AND($F$126=0,$G$126=0),"",IF(AND(J126="wahr",$F$126&gt;0),($F$126*$G$126)*-1,IF(AND(J126="wahr",$F$126&lt;0),$F$126*$G$126,"")))))</f>
        <v/>
      </c>
      <c r="G130" s="71" t="str">
        <f>IF($G$128="","",IF(AND(K126="",$F$126=0,$G$126=0),"",IF(AND($F$126=0,$G$126=0),"",IF(AND(K126="wahr",$F$126&gt;0),($F$126*$G$126)*-1,IF(AND(K126="wahr",$F$126&lt;0),$F$126*$G$126,"")))))</f>
        <v/>
      </c>
      <c r="H130" s="15"/>
      <c r="I130" s="15"/>
    </row>
    <row r="131" spans="1:9" customFormat="1" ht="15.75" hidden="1" customHeight="1" thickBot="1" x14ac:dyDescent="0.35">
      <c r="A131" s="195" t="s">
        <v>33</v>
      </c>
      <c r="B131" s="196"/>
      <c r="C131" s="196"/>
      <c r="D131" s="74" t="str">
        <f>IF(D128="","",SUM(D128:D130))</f>
        <v/>
      </c>
      <c r="E131" s="74" t="str">
        <f>IF(E128="","",SUM(E128:E130))</f>
        <v/>
      </c>
      <c r="F131" s="74" t="str">
        <f>IF(F128="","",SUM(F128:F130))</f>
        <v/>
      </c>
      <c r="G131" s="74" t="str">
        <f>IF(G128="","",SUM(G128:G130))</f>
        <v/>
      </c>
      <c r="H131" s="15"/>
      <c r="I131" s="15"/>
    </row>
    <row r="132" spans="1:9" customFormat="1" ht="20.100000000000001" customHeight="1" thickBot="1" x14ac:dyDescent="0.3">
      <c r="A132" s="179" t="s">
        <v>35</v>
      </c>
      <c r="B132" s="180"/>
      <c r="C132" s="180"/>
      <c r="D132" s="180"/>
      <c r="E132" s="180"/>
      <c r="F132" s="180"/>
      <c r="G132" s="181"/>
      <c r="H132" s="15"/>
      <c r="I132" s="15"/>
    </row>
    <row r="133" spans="1:9" customFormat="1" ht="48" hidden="1" customHeight="1" thickBot="1" x14ac:dyDescent="0.3">
      <c r="A133" s="204" t="s">
        <v>26</v>
      </c>
      <c r="B133" s="198"/>
      <c r="C133" s="198"/>
      <c r="D133" s="198"/>
      <c r="E133" s="199"/>
      <c r="F133" s="75" t="str">
        <f>IF(G133=0,"",IF(G133="","",IF(H1=D131,D110,IF(H1=E131,E110,IF(H1=F131,F110,IF(H1=G131,G110,""))))))</f>
        <v/>
      </c>
      <c r="G133" s="76" t="str">
        <f>IF(AND(D131="",E131="",F131="",G131="",D122="",E122="",F122="",G122=""),"",IF(AND(D131="",E131="",F131="",G131=""),IF(MIN(D122:G122)&lt;0,MAX(D122:G122),""),IF(MIN(D131:G131)&lt;0,MAX(D131:G131),"")))</f>
        <v/>
      </c>
      <c r="H133" s="15"/>
      <c r="I133" s="15"/>
    </row>
    <row r="134" spans="1:9" customFormat="1" ht="23.25" hidden="1" customHeight="1" thickBot="1" x14ac:dyDescent="0.3">
      <c r="A134" s="200" t="s">
        <v>12</v>
      </c>
      <c r="B134" s="201"/>
      <c r="C134" s="198" t="str">
        <f>IF(F133="","",IF(F133=0,"",IF(F133=D110,A39,IF(F133=E110,A57,IF(F133=F110,A75,IF(F133=G110,A93))))))</f>
        <v/>
      </c>
      <c r="D134" s="198"/>
      <c r="E134" s="198"/>
      <c r="F134" s="198"/>
      <c r="G134" s="199"/>
      <c r="H134" s="15"/>
      <c r="I134" s="15"/>
    </row>
    <row r="135" spans="1:9" customFormat="1" ht="20.100000000000001" customHeight="1" thickBot="1" x14ac:dyDescent="0.3">
      <c r="A135" s="179" t="s">
        <v>36</v>
      </c>
      <c r="B135" s="180"/>
      <c r="C135" s="180"/>
      <c r="D135" s="180"/>
      <c r="E135" s="180"/>
      <c r="F135" s="180"/>
      <c r="G135" s="181"/>
      <c r="H135" s="15"/>
      <c r="I135" s="15"/>
    </row>
    <row r="136" spans="1:9" customFormat="1" ht="42" hidden="1" customHeight="1" thickBot="1" x14ac:dyDescent="0.3">
      <c r="A136" s="186" t="s">
        <v>163</v>
      </c>
      <c r="B136" s="187"/>
      <c r="C136" s="187"/>
      <c r="D136" s="187"/>
      <c r="E136" s="187"/>
      <c r="F136" s="187"/>
      <c r="G136" s="188"/>
      <c r="H136" s="15"/>
      <c r="I136" s="86"/>
    </row>
    <row r="137" spans="1:9" customFormat="1" x14ac:dyDescent="0.25">
      <c r="A137" s="14"/>
      <c r="B137" s="14"/>
      <c r="C137" s="14"/>
      <c r="D137" s="14"/>
      <c r="E137" s="14"/>
      <c r="F137" s="14"/>
      <c r="G137" s="14"/>
      <c r="H137" s="155"/>
      <c r="I137" s="155"/>
    </row>
    <row r="138" spans="1:9" customFormat="1" x14ac:dyDescent="0.25">
      <c r="A138" s="14"/>
      <c r="B138" s="14"/>
      <c r="C138" s="14"/>
      <c r="D138" s="14"/>
      <c r="E138" s="14"/>
      <c r="F138" s="14"/>
      <c r="G138" s="14"/>
      <c r="H138" s="155"/>
      <c r="I138" s="155"/>
    </row>
    <row r="139" spans="1:9" customFormat="1" x14ac:dyDescent="0.25">
      <c r="A139" s="14"/>
      <c r="B139" s="14"/>
      <c r="C139" s="14"/>
      <c r="D139" s="14"/>
      <c r="E139" s="14"/>
      <c r="F139" s="14"/>
      <c r="G139" s="14"/>
      <c r="H139" s="155"/>
      <c r="I139" s="155"/>
    </row>
    <row r="140" spans="1:9" customFormat="1" x14ac:dyDescent="0.25">
      <c r="A140" s="14"/>
      <c r="B140" s="14"/>
      <c r="C140" s="14"/>
      <c r="D140" s="14"/>
      <c r="E140" s="14"/>
      <c r="F140" s="14"/>
      <c r="G140" s="14"/>
      <c r="H140" s="155"/>
      <c r="I140" s="155"/>
    </row>
    <row r="141" spans="1:9" customFormat="1" x14ac:dyDescent="0.25">
      <c r="A141" s="14"/>
      <c r="B141" s="14"/>
      <c r="C141" s="14"/>
      <c r="D141" s="14"/>
      <c r="E141" s="14"/>
      <c r="F141" s="14"/>
      <c r="G141" s="14"/>
      <c r="H141" s="155"/>
      <c r="I141" s="155"/>
    </row>
    <row r="142" spans="1:9" customFormat="1" x14ac:dyDescent="0.25">
      <c r="A142" s="14"/>
      <c r="B142" s="14"/>
      <c r="C142" s="14"/>
      <c r="D142" s="14"/>
      <c r="E142" s="14"/>
      <c r="F142" s="14"/>
      <c r="G142" s="14"/>
      <c r="H142" s="155"/>
      <c r="I142" s="155"/>
    </row>
    <row r="143" spans="1:9" customFormat="1" x14ac:dyDescent="0.25">
      <c r="A143" s="14"/>
      <c r="B143" s="14"/>
      <c r="C143" s="14"/>
      <c r="D143" s="14"/>
      <c r="E143" s="14"/>
      <c r="F143" s="14"/>
      <c r="G143" s="14"/>
      <c r="H143" s="155"/>
      <c r="I143" s="155"/>
    </row>
    <row r="144" spans="1:9" customFormat="1" x14ac:dyDescent="0.25">
      <c r="A144" s="14"/>
      <c r="B144" s="14"/>
      <c r="C144" s="14"/>
      <c r="D144" s="14"/>
      <c r="E144" s="14"/>
      <c r="F144" s="14"/>
      <c r="G144" s="14"/>
      <c r="H144" s="155"/>
      <c r="I144" s="155"/>
    </row>
    <row r="145" spans="1:9" customFormat="1" x14ac:dyDescent="0.25">
      <c r="A145" s="14"/>
      <c r="B145" s="14"/>
      <c r="C145" s="14"/>
      <c r="D145" s="14"/>
      <c r="E145" s="14"/>
      <c r="F145" s="14"/>
      <c r="G145" s="14"/>
      <c r="H145" s="155"/>
      <c r="I145" s="155"/>
    </row>
    <row r="146" spans="1:9" customFormat="1" x14ac:dyDescent="0.25">
      <c r="A146" s="14"/>
      <c r="B146" s="14"/>
      <c r="C146" s="14"/>
      <c r="D146" s="14"/>
      <c r="E146" s="14"/>
      <c r="F146" s="14"/>
      <c r="G146" s="14"/>
      <c r="H146" s="155"/>
      <c r="I146" s="155"/>
    </row>
    <row r="147" spans="1:9" customFormat="1" x14ac:dyDescent="0.25">
      <c r="A147" s="14"/>
      <c r="B147" s="14"/>
      <c r="C147" s="14"/>
      <c r="D147" s="14"/>
      <c r="E147" s="14"/>
      <c r="F147" s="14"/>
      <c r="G147" s="14"/>
      <c r="H147" s="155"/>
      <c r="I147" s="155"/>
    </row>
    <row r="148" spans="1:9" customFormat="1" x14ac:dyDescent="0.25">
      <c r="A148" s="14"/>
      <c r="B148" s="14"/>
      <c r="C148" s="14"/>
      <c r="D148" s="14"/>
      <c r="E148" s="14"/>
      <c r="F148" s="14"/>
      <c r="G148" s="14"/>
      <c r="H148" s="155"/>
      <c r="I148" s="155"/>
    </row>
    <row r="149" spans="1:9" customFormat="1" x14ac:dyDescent="0.25">
      <c r="A149" s="14"/>
      <c r="B149" s="14"/>
      <c r="C149" s="14"/>
      <c r="D149" s="14"/>
      <c r="E149" s="14"/>
      <c r="F149" s="14"/>
      <c r="G149" s="14"/>
      <c r="H149" s="155"/>
      <c r="I149" s="155"/>
    </row>
    <row r="150" spans="1:9" customFormat="1" x14ac:dyDescent="0.25">
      <c r="A150" s="14"/>
      <c r="B150" s="14"/>
      <c r="C150" s="14"/>
      <c r="D150" s="14"/>
      <c r="E150" s="14"/>
      <c r="F150" s="14"/>
      <c r="G150" s="14"/>
      <c r="H150" s="155"/>
      <c r="I150" s="155"/>
    </row>
    <row r="151" spans="1:9" customFormat="1" x14ac:dyDescent="0.25">
      <c r="A151" s="14"/>
      <c r="B151" s="14"/>
      <c r="C151" s="14"/>
      <c r="D151" s="14"/>
      <c r="E151" s="14"/>
      <c r="F151" s="14"/>
      <c r="G151" s="14"/>
      <c r="H151" s="155"/>
      <c r="I151" s="155"/>
    </row>
    <row r="152" spans="1:9" customFormat="1" x14ac:dyDescent="0.25">
      <c r="A152" s="14"/>
      <c r="B152" s="14"/>
      <c r="C152" s="14"/>
      <c r="D152" s="14"/>
      <c r="E152" s="14"/>
      <c r="F152" s="14"/>
      <c r="G152" s="14"/>
      <c r="H152" s="155"/>
      <c r="I152" s="155"/>
    </row>
    <row r="153" spans="1:9" customFormat="1" x14ac:dyDescent="0.25">
      <c r="A153" s="14"/>
      <c r="B153" s="14"/>
      <c r="C153" s="14"/>
      <c r="D153" s="14"/>
      <c r="E153" s="14"/>
      <c r="F153" s="14"/>
      <c r="G153" s="14"/>
      <c r="H153" s="155"/>
      <c r="I153" s="155"/>
    </row>
    <row r="154" spans="1:9" customFormat="1" x14ac:dyDescent="0.25">
      <c r="A154" s="14"/>
      <c r="B154" s="14"/>
      <c r="C154" s="14"/>
      <c r="D154" s="14"/>
      <c r="E154" s="14"/>
      <c r="F154" s="14"/>
      <c r="G154" s="14"/>
      <c r="H154" s="155"/>
      <c r="I154" s="155"/>
    </row>
    <row r="155" spans="1:9" customFormat="1" x14ac:dyDescent="0.25">
      <c r="A155" s="14"/>
      <c r="B155" s="14"/>
      <c r="C155" s="14"/>
      <c r="D155" s="14"/>
      <c r="E155" s="14"/>
      <c r="F155" s="14"/>
      <c r="G155" s="14"/>
      <c r="H155" s="155"/>
      <c r="I155" s="155"/>
    </row>
    <row r="156" spans="1:9" customFormat="1" x14ac:dyDescent="0.25">
      <c r="A156" s="14"/>
      <c r="B156" s="14"/>
      <c r="C156" s="14"/>
      <c r="D156" s="14"/>
      <c r="E156" s="14"/>
      <c r="F156" s="14"/>
      <c r="G156" s="14"/>
      <c r="H156" s="155"/>
      <c r="I156" s="155"/>
    </row>
    <row r="157" spans="1:9" customFormat="1" x14ac:dyDescent="0.25">
      <c r="A157" s="14"/>
      <c r="B157" s="14"/>
      <c r="C157" s="14"/>
      <c r="D157" s="14"/>
      <c r="E157" s="14"/>
      <c r="F157" s="14"/>
      <c r="G157" s="14"/>
      <c r="H157" s="155"/>
      <c r="I157" s="155"/>
    </row>
    <row r="158" spans="1:9" customFormat="1" x14ac:dyDescent="0.25">
      <c r="A158" s="14"/>
      <c r="B158" s="14"/>
      <c r="C158" s="14"/>
      <c r="D158" s="14"/>
      <c r="E158" s="14"/>
      <c r="F158" s="14"/>
      <c r="G158" s="14"/>
      <c r="H158" s="155"/>
      <c r="I158" s="155"/>
    </row>
    <row r="159" spans="1:9" customFormat="1" x14ac:dyDescent="0.25">
      <c r="A159" s="14"/>
      <c r="B159" s="14"/>
      <c r="C159" s="14"/>
      <c r="D159" s="14"/>
      <c r="E159" s="14"/>
      <c r="F159" s="14"/>
      <c r="G159" s="14"/>
      <c r="H159" s="155"/>
      <c r="I159" s="155"/>
    </row>
    <row r="160" spans="1:9" customFormat="1" x14ac:dyDescent="0.25">
      <c r="A160" s="14"/>
      <c r="B160" s="14"/>
      <c r="C160" s="14"/>
      <c r="D160" s="14"/>
      <c r="E160" s="14"/>
      <c r="F160" s="14"/>
      <c r="G160" s="14"/>
      <c r="H160" s="155"/>
      <c r="I160" s="155"/>
    </row>
    <row r="161" spans="1:9" customFormat="1" x14ac:dyDescent="0.25">
      <c r="A161" s="14"/>
      <c r="B161" s="14"/>
      <c r="C161" s="14"/>
      <c r="D161" s="14"/>
      <c r="E161" s="14"/>
      <c r="F161" s="14"/>
      <c r="G161" s="14"/>
      <c r="H161" s="155"/>
      <c r="I161" s="155"/>
    </row>
    <row r="162" spans="1:9" customFormat="1" x14ac:dyDescent="0.25">
      <c r="A162" s="14"/>
      <c r="B162" s="14"/>
      <c r="C162" s="14"/>
      <c r="D162" s="14"/>
      <c r="E162" s="14"/>
      <c r="F162" s="14"/>
      <c r="G162" s="14"/>
      <c r="H162" s="155"/>
      <c r="I162" s="155"/>
    </row>
    <row r="163" spans="1:9" customFormat="1" x14ac:dyDescent="0.25">
      <c r="A163" s="14"/>
      <c r="B163" s="14"/>
      <c r="C163" s="14"/>
      <c r="D163" s="14"/>
      <c r="E163" s="14"/>
      <c r="F163" s="14"/>
      <c r="G163" s="14"/>
      <c r="H163" s="155"/>
      <c r="I163" s="155"/>
    </row>
    <row r="164" spans="1:9" customFormat="1" x14ac:dyDescent="0.25">
      <c r="A164" s="14"/>
      <c r="B164" s="14"/>
      <c r="C164" s="14"/>
      <c r="D164" s="14"/>
      <c r="E164" s="14"/>
      <c r="F164" s="14"/>
      <c r="G164" s="14"/>
      <c r="H164" s="155"/>
      <c r="I164" s="155"/>
    </row>
    <row r="165" spans="1:9" customFormat="1" x14ac:dyDescent="0.25">
      <c r="A165" s="14"/>
      <c r="B165" s="14"/>
      <c r="C165" s="14"/>
      <c r="D165" s="14"/>
      <c r="E165" s="14"/>
      <c r="F165" s="14"/>
      <c r="G165" s="14"/>
      <c r="H165" s="155"/>
      <c r="I165" s="155"/>
    </row>
    <row r="166" spans="1:9" customFormat="1" x14ac:dyDescent="0.25">
      <c r="A166" s="14"/>
      <c r="B166" s="14"/>
      <c r="C166" s="14"/>
      <c r="D166" s="14"/>
      <c r="E166" s="14"/>
      <c r="F166" s="14"/>
      <c r="G166" s="14"/>
      <c r="H166" s="155"/>
      <c r="I166" s="155"/>
    </row>
    <row r="167" spans="1:9" customFormat="1" x14ac:dyDescent="0.25">
      <c r="A167" s="14"/>
      <c r="B167" s="14"/>
      <c r="C167" s="14"/>
      <c r="D167" s="14"/>
      <c r="E167" s="14"/>
      <c r="F167" s="14"/>
      <c r="G167" s="14"/>
      <c r="H167" s="155"/>
      <c r="I167" s="155"/>
    </row>
    <row r="168" spans="1:9" customFormat="1" ht="18" customHeight="1" x14ac:dyDescent="0.25">
      <c r="A168" s="14"/>
      <c r="B168" s="14"/>
      <c r="C168" s="14"/>
      <c r="D168" s="14"/>
      <c r="E168" s="14"/>
      <c r="F168" s="14"/>
      <c r="G168" s="14"/>
      <c r="H168" s="155"/>
      <c r="I168" s="155"/>
    </row>
    <row r="169" spans="1:9" customFormat="1" x14ac:dyDescent="0.25">
      <c r="A169" s="14"/>
      <c r="B169" s="14"/>
      <c r="C169" s="14"/>
      <c r="D169" s="14"/>
      <c r="E169" s="14"/>
      <c r="F169" s="14"/>
      <c r="G169" s="14"/>
      <c r="H169" s="155"/>
      <c r="I169" s="155"/>
    </row>
  </sheetData>
  <dataConsolidate/>
  <mergeCells count="59">
    <mergeCell ref="A2:G2"/>
    <mergeCell ref="A8:G8"/>
    <mergeCell ref="D25:G25"/>
    <mergeCell ref="D26:G26"/>
    <mergeCell ref="D24:G24"/>
    <mergeCell ref="A1:G1"/>
    <mergeCell ref="D23:G23"/>
    <mergeCell ref="B14:C14"/>
    <mergeCell ref="B15:C15"/>
    <mergeCell ref="B16:C16"/>
    <mergeCell ref="A4:E4"/>
    <mergeCell ref="F4:G4"/>
    <mergeCell ref="A19:G19"/>
    <mergeCell ref="A21:G21"/>
    <mergeCell ref="A3:G3"/>
    <mergeCell ref="G5:G6"/>
    <mergeCell ref="A22:G22"/>
    <mergeCell ref="A7:G7"/>
    <mergeCell ref="B17:C17"/>
    <mergeCell ref="B18:C18"/>
    <mergeCell ref="A13:G13"/>
    <mergeCell ref="A136:G136"/>
    <mergeCell ref="A125:E125"/>
    <mergeCell ref="A117:B121"/>
    <mergeCell ref="A132:G132"/>
    <mergeCell ref="A122:C122"/>
    <mergeCell ref="C134:G134"/>
    <mergeCell ref="A134:B134"/>
    <mergeCell ref="A128:C128"/>
    <mergeCell ref="A127:G127"/>
    <mergeCell ref="B124:E124"/>
    <mergeCell ref="A126:E126"/>
    <mergeCell ref="A135:G135"/>
    <mergeCell ref="A133:E133"/>
    <mergeCell ref="A131:C131"/>
    <mergeCell ref="A129:B130"/>
    <mergeCell ref="A123:G123"/>
    <mergeCell ref="A27:G27"/>
    <mergeCell ref="A100:A101"/>
    <mergeCell ref="A36:G36"/>
    <mergeCell ref="B37:B40"/>
    <mergeCell ref="A39:A43"/>
    <mergeCell ref="B91:B94"/>
    <mergeCell ref="A30:A31"/>
    <mergeCell ref="A32:A33"/>
    <mergeCell ref="A34:A35"/>
    <mergeCell ref="A111:B114"/>
    <mergeCell ref="B55:B58"/>
    <mergeCell ref="B68:B72"/>
    <mergeCell ref="B73:B76"/>
    <mergeCell ref="A28:A29"/>
    <mergeCell ref="B86:B90"/>
    <mergeCell ref="A75:A79"/>
    <mergeCell ref="A57:A61"/>
    <mergeCell ref="A93:A97"/>
    <mergeCell ref="B50:B54"/>
    <mergeCell ref="A109:G109"/>
    <mergeCell ref="A110:C110"/>
    <mergeCell ref="B104:B108"/>
  </mergeCells>
  <conditionalFormatting sqref="E15:G15">
    <cfRule type="expression" dxfId="81" priority="193">
      <formula>$D$15&lt;&gt;""</formula>
    </cfRule>
  </conditionalFormatting>
  <conditionalFormatting sqref="E16:G16">
    <cfRule type="expression" dxfId="80" priority="192">
      <formula>$D$16&lt;&gt;""</formula>
    </cfRule>
  </conditionalFormatting>
  <conditionalFormatting sqref="E17:G17">
    <cfRule type="expression" dxfId="79" priority="191">
      <formula>$D$17&lt;&gt;""</formula>
    </cfRule>
  </conditionalFormatting>
  <conditionalFormatting sqref="E18:G18">
    <cfRule type="expression" dxfId="78" priority="190">
      <formula>$D$18&lt;&gt;""</formula>
    </cfRule>
  </conditionalFormatting>
  <conditionalFormatting sqref="D48:F48">
    <cfRule type="expression" dxfId="77" priority="179">
      <formula>$D$48&lt;&gt;""</formula>
    </cfRule>
  </conditionalFormatting>
  <conditionalFormatting sqref="D49:F49">
    <cfRule type="expression" dxfId="76" priority="172">
      <formula>$D$49&lt;&gt;""</formula>
    </cfRule>
  </conditionalFormatting>
  <conditionalFormatting sqref="D54:F54">
    <cfRule type="expression" dxfId="75" priority="170">
      <formula>$D$54&lt;&gt;""</formula>
    </cfRule>
  </conditionalFormatting>
  <conditionalFormatting sqref="F48">
    <cfRule type="expression" dxfId="74" priority="127">
      <formula>$F$48&lt;&gt;""</formula>
    </cfRule>
  </conditionalFormatting>
  <conditionalFormatting sqref="E40">
    <cfRule type="expression" dxfId="73" priority="126">
      <formula>#REF!&lt;&gt;""</formula>
    </cfRule>
  </conditionalFormatting>
  <conditionalFormatting sqref="E58">
    <cfRule type="expression" dxfId="72" priority="104">
      <formula>#REF!&lt;&gt;""</formula>
    </cfRule>
  </conditionalFormatting>
  <conditionalFormatting sqref="C11:G11">
    <cfRule type="expression" dxfId="71" priority="122">
      <formula>$B$11&lt;&gt;""</formula>
    </cfRule>
  </conditionalFormatting>
  <conditionalFormatting sqref="B11:G11">
    <cfRule type="expression" dxfId="70" priority="121">
      <formula>$B$11&lt;&gt;""</formula>
    </cfRule>
  </conditionalFormatting>
  <conditionalFormatting sqref="B9:G9">
    <cfRule type="expression" dxfId="69" priority="120">
      <formula>$B$9&lt;&gt;""</formula>
    </cfRule>
  </conditionalFormatting>
  <conditionalFormatting sqref="D28:G28">
    <cfRule type="expression" dxfId="68" priority="119">
      <formula>$C$28&lt;&gt;""</formula>
    </cfRule>
  </conditionalFormatting>
  <conditionalFormatting sqref="D30:G30">
    <cfRule type="expression" dxfId="67" priority="118">
      <formula>$C$30&lt;&gt;""</formula>
    </cfRule>
  </conditionalFormatting>
  <conditionalFormatting sqref="D32:G32">
    <cfRule type="expression" dxfId="66" priority="117">
      <formula>$C$32&lt;&gt;""</formula>
    </cfRule>
  </conditionalFormatting>
  <conditionalFormatting sqref="D34:G34">
    <cfRule type="expression" dxfId="65" priority="116">
      <formula>$C$34&lt;&gt;""</formula>
    </cfRule>
  </conditionalFormatting>
  <conditionalFormatting sqref="D66:F66">
    <cfRule type="expression" dxfId="64" priority="108">
      <formula>$D$66&lt;&gt;""</formula>
    </cfRule>
  </conditionalFormatting>
  <conditionalFormatting sqref="D67:F67">
    <cfRule type="expression" dxfId="63" priority="107">
      <formula>$D$67&lt;&gt;""</formula>
    </cfRule>
  </conditionalFormatting>
  <conditionalFormatting sqref="F66">
    <cfRule type="expression" dxfId="62" priority="105">
      <formula>$F$48&lt;&gt;""</formula>
    </cfRule>
  </conditionalFormatting>
  <conditionalFormatting sqref="D84:F84">
    <cfRule type="expression" dxfId="61" priority="97">
      <formula>$D$84&lt;&gt;""</formula>
    </cfRule>
  </conditionalFormatting>
  <conditionalFormatting sqref="D85:F85">
    <cfRule type="expression" dxfId="60" priority="96">
      <formula>$D$85&lt;&gt;""</formula>
    </cfRule>
  </conditionalFormatting>
  <conditionalFormatting sqref="F84">
    <cfRule type="expression" dxfId="59" priority="94">
      <formula>$F$48&lt;&gt;""</formula>
    </cfRule>
  </conditionalFormatting>
  <conditionalFormatting sqref="E76">
    <cfRule type="expression" dxfId="58" priority="93">
      <formula>#REF!&lt;&gt;""</formula>
    </cfRule>
  </conditionalFormatting>
  <conditionalFormatting sqref="F102">
    <cfRule type="expression" dxfId="57" priority="77">
      <formula>$F$48&lt;&gt;""</formula>
    </cfRule>
  </conditionalFormatting>
  <conditionalFormatting sqref="E94">
    <cfRule type="expression" dxfId="56" priority="86">
      <formula>#REF!&lt;&gt;""</formula>
    </cfRule>
  </conditionalFormatting>
  <conditionalFormatting sqref="D102:F102">
    <cfRule type="expression" dxfId="55" priority="79">
      <formula>$D$102&lt;&gt;""</formula>
    </cfRule>
  </conditionalFormatting>
  <conditionalFormatting sqref="D103:F103">
    <cfRule type="expression" dxfId="54" priority="78">
      <formula>$D$103&lt;&gt;""</formula>
    </cfRule>
  </conditionalFormatting>
  <conditionalFormatting sqref="D72:F72">
    <cfRule type="expression" dxfId="53" priority="57">
      <formula>$D$72&lt;&gt;""</formula>
    </cfRule>
  </conditionalFormatting>
  <conditionalFormatting sqref="D90:F90">
    <cfRule type="expression" dxfId="52" priority="56">
      <formula>$D$90&lt;&gt;""</formula>
    </cfRule>
  </conditionalFormatting>
  <conditionalFormatting sqref="D108:F108">
    <cfRule type="expression" dxfId="51" priority="55">
      <formula>$D$108&lt;&gt;""</formula>
    </cfRule>
  </conditionalFormatting>
  <conditionalFormatting sqref="C43:G43">
    <cfRule type="expression" dxfId="50" priority="53">
      <formula>$C$43=""</formula>
    </cfRule>
  </conditionalFormatting>
  <conditionalFormatting sqref="C45:E45 G45">
    <cfRule type="expression" dxfId="49" priority="52">
      <formula>$C$45=""</formula>
    </cfRule>
  </conditionalFormatting>
  <conditionalFormatting sqref="C47:G47">
    <cfRule type="expression" dxfId="48" priority="51">
      <formula>$C$47=""</formula>
    </cfRule>
  </conditionalFormatting>
  <conditionalFormatting sqref="E47:F47">
    <cfRule type="expression" dxfId="47" priority="50">
      <formula>$D$47&lt;&gt;""</formula>
    </cfRule>
  </conditionalFormatting>
  <conditionalFormatting sqref="E45">
    <cfRule type="expression" dxfId="46" priority="49">
      <formula>$D$45&lt;&gt;""</formula>
    </cfRule>
  </conditionalFormatting>
  <conditionalFormatting sqref="E43:F43">
    <cfRule type="expression" dxfId="45" priority="48">
      <formula>$D$43&lt;&gt;""</formula>
    </cfRule>
  </conditionalFormatting>
  <conditionalFormatting sqref="D42:G42">
    <cfRule type="expression" dxfId="44" priority="47">
      <formula>$C$42="Sonstiges"</formula>
    </cfRule>
  </conditionalFormatting>
  <conditionalFormatting sqref="D44:E44 G44">
    <cfRule type="expression" dxfId="43" priority="46">
      <formula>$C$44="Sonstiges"</formula>
    </cfRule>
  </conditionalFormatting>
  <conditionalFormatting sqref="D46:E46 G46">
    <cfRule type="expression" dxfId="42" priority="45">
      <formula>$C$46="Sonstiges"</formula>
    </cfRule>
  </conditionalFormatting>
  <conditionalFormatting sqref="C61:G61">
    <cfRule type="expression" dxfId="41" priority="44">
      <formula>$C$61=""</formula>
    </cfRule>
  </conditionalFormatting>
  <conditionalFormatting sqref="C63:E63 G63">
    <cfRule type="expression" dxfId="40" priority="43">
      <formula>$C$63=""</formula>
    </cfRule>
  </conditionalFormatting>
  <conditionalFormatting sqref="C65:G65">
    <cfRule type="expression" dxfId="39" priority="42">
      <formula>$C$65=""</formula>
    </cfRule>
  </conditionalFormatting>
  <conditionalFormatting sqref="E65:F65">
    <cfRule type="expression" dxfId="38" priority="41">
      <formula>$D$65&lt;&gt;""</formula>
    </cfRule>
  </conditionalFormatting>
  <conditionalFormatting sqref="D63:F63">
    <cfRule type="expression" dxfId="37" priority="40">
      <formula>$D$63&lt;&gt;""</formula>
    </cfRule>
  </conditionalFormatting>
  <conditionalFormatting sqref="E61:F61">
    <cfRule type="expression" dxfId="36" priority="39">
      <formula>$D$61&lt;&gt;""</formula>
    </cfRule>
  </conditionalFormatting>
  <conditionalFormatting sqref="D60:G60">
    <cfRule type="expression" dxfId="35" priority="38">
      <formula>$C$60="Sonstiges"</formula>
    </cfRule>
  </conditionalFormatting>
  <conditionalFormatting sqref="D62:E62 G62">
    <cfRule type="expression" dxfId="34" priority="37">
      <formula>$C$62="Sonstiges"</formula>
    </cfRule>
  </conditionalFormatting>
  <conditionalFormatting sqref="D64:E64 G64">
    <cfRule type="expression" dxfId="33" priority="36">
      <formula>$C$64="Sonstiges"</formula>
    </cfRule>
  </conditionalFormatting>
  <conditionalFormatting sqref="C79:G79">
    <cfRule type="expression" dxfId="32" priority="35">
      <formula>$C$79=""</formula>
    </cfRule>
  </conditionalFormatting>
  <conditionalFormatting sqref="C81:G81">
    <cfRule type="expression" dxfId="31" priority="34">
      <formula>$C$81=""</formula>
    </cfRule>
  </conditionalFormatting>
  <conditionalFormatting sqref="C83:G83">
    <cfRule type="expression" dxfId="30" priority="33">
      <formula>$C$83=""</formula>
    </cfRule>
  </conditionalFormatting>
  <conditionalFormatting sqref="E83:F83">
    <cfRule type="expression" dxfId="29" priority="32">
      <formula>$D$83&lt;&gt;""</formula>
    </cfRule>
  </conditionalFormatting>
  <conditionalFormatting sqref="E81:F81">
    <cfRule type="expression" dxfId="28" priority="31">
      <formula>$D$81&lt;&gt;""</formula>
    </cfRule>
  </conditionalFormatting>
  <conditionalFormatting sqref="E79:F79">
    <cfRule type="expression" dxfId="27" priority="30">
      <formula>$D$79&lt;&gt;""</formula>
    </cfRule>
  </conditionalFormatting>
  <conditionalFormatting sqref="D78:G78">
    <cfRule type="expression" dxfId="26" priority="29">
      <formula>$C$78="Sonstiges"</formula>
    </cfRule>
  </conditionalFormatting>
  <conditionalFormatting sqref="D80:G80">
    <cfRule type="expression" dxfId="25" priority="28">
      <formula>$C$80="Sonstiges"</formula>
    </cfRule>
  </conditionalFormatting>
  <conditionalFormatting sqref="D82:G82">
    <cfRule type="expression" dxfId="24" priority="27">
      <formula>$C$82="Sonstiges"</formula>
    </cfRule>
  </conditionalFormatting>
  <conditionalFormatting sqref="C97:G97">
    <cfRule type="expression" dxfId="23" priority="26">
      <formula>$C$97=""</formula>
    </cfRule>
  </conditionalFormatting>
  <conditionalFormatting sqref="C99:G99">
    <cfRule type="expression" dxfId="22" priority="25">
      <formula>$C$99=""</formula>
    </cfRule>
  </conditionalFormatting>
  <conditionalFormatting sqref="C101:G101">
    <cfRule type="expression" dxfId="21" priority="24">
      <formula>$C$101=""</formula>
    </cfRule>
  </conditionalFormatting>
  <conditionalFormatting sqref="E101:F101">
    <cfRule type="expression" dxfId="20" priority="23">
      <formula>$D$101&lt;&gt;""</formula>
    </cfRule>
  </conditionalFormatting>
  <conditionalFormatting sqref="E99:F99">
    <cfRule type="expression" dxfId="19" priority="22">
      <formula>$D$99&lt;&gt;""</formula>
    </cfRule>
  </conditionalFormatting>
  <conditionalFormatting sqref="E97:F97">
    <cfRule type="expression" dxfId="18" priority="21">
      <formula>$D$97&lt;&gt;""</formula>
    </cfRule>
  </conditionalFormatting>
  <conditionalFormatting sqref="D96:G96">
    <cfRule type="expression" dxfId="17" priority="20">
      <formula>$C$96="Sonstiges"</formula>
    </cfRule>
  </conditionalFormatting>
  <conditionalFormatting sqref="D98:G98">
    <cfRule type="expression" dxfId="16" priority="19">
      <formula>$C$98="Sonstiges"</formula>
    </cfRule>
  </conditionalFormatting>
  <conditionalFormatting sqref="D100:G100">
    <cfRule type="expression" dxfId="15" priority="18">
      <formula>$C$100="Sonstiges"</formula>
    </cfRule>
  </conditionalFormatting>
  <conditionalFormatting sqref="F45">
    <cfRule type="expression" dxfId="14" priority="17">
      <formula>$C$45=""</formula>
    </cfRule>
  </conditionalFormatting>
  <conditionalFormatting sqref="F45">
    <cfRule type="expression" dxfId="13" priority="16">
      <formula>$D$45&lt;&gt;""</formula>
    </cfRule>
  </conditionalFormatting>
  <conditionalFormatting sqref="F44">
    <cfRule type="expression" dxfId="12" priority="15">
      <formula>$C$44="Sonstiges"</formula>
    </cfRule>
  </conditionalFormatting>
  <conditionalFormatting sqref="F46">
    <cfRule type="expression" dxfId="11" priority="14">
      <formula>$C$46="Sonstiges"</formula>
    </cfRule>
  </conditionalFormatting>
  <conditionalFormatting sqref="F62">
    <cfRule type="expression" dxfId="10" priority="11">
      <formula>$C$44="Sonstiges"</formula>
    </cfRule>
  </conditionalFormatting>
  <conditionalFormatting sqref="F64">
    <cfRule type="expression" dxfId="9" priority="10">
      <formula>$C$46="Sonstiges"</formula>
    </cfRule>
  </conditionalFormatting>
  <conditionalFormatting sqref="D50:F50">
    <cfRule type="expression" dxfId="8" priority="9">
      <formula>$D$50&lt;&gt;""</formula>
    </cfRule>
  </conditionalFormatting>
  <conditionalFormatting sqref="D68:F68">
    <cfRule type="expression" dxfId="7" priority="8">
      <formula>$D$68&lt;&gt;""</formula>
    </cfRule>
  </conditionalFormatting>
  <conditionalFormatting sqref="D86:F86">
    <cfRule type="expression" dxfId="6" priority="7">
      <formula>$D$86&lt;&gt;""</formula>
    </cfRule>
  </conditionalFormatting>
  <conditionalFormatting sqref="D104:F104">
    <cfRule type="expression" dxfId="5" priority="6">
      <formula>$D$104&lt;&gt;""</formula>
    </cfRule>
  </conditionalFormatting>
  <conditionalFormatting sqref="B5">
    <cfRule type="expression" dxfId="4" priority="5">
      <formula>$B$5&lt;&gt;""</formula>
    </cfRule>
  </conditionalFormatting>
  <conditionalFormatting sqref="B6">
    <cfRule type="expression" dxfId="3" priority="4">
      <formula>$B$5&lt;&gt;""</formula>
    </cfRule>
  </conditionalFormatting>
  <conditionalFormatting sqref="D6">
    <cfRule type="expression" dxfId="2" priority="3">
      <formula>$B$5&lt;&gt;""</formula>
    </cfRule>
  </conditionalFormatting>
  <conditionalFormatting sqref="F5">
    <cfRule type="expression" dxfId="1" priority="2">
      <formula>$E$5&lt;&gt;""</formula>
    </cfRule>
  </conditionalFormatting>
  <conditionalFormatting sqref="F6">
    <cfRule type="expression" dxfId="0" priority="1">
      <formula>$B$5&lt;&gt;""</formula>
    </cfRule>
  </conditionalFormatting>
  <dataValidations xWindow="657" yWindow="595" count="5">
    <dataValidation allowBlank="1" showInputMessage="1" showErrorMessage="1" promptTitle="Hinweis" prompt="Laut §6 BHO sind nur die zur Bedarfsdeckung unabdingbar notwendigen Ausgaben zu berücksichtigen. _x000a__x000a_Bitte bedenken Sie vor diesem Hintergrund den notwendigen Zusammenhang der Ausgaben mit dem Bedarf bzw. der Zielsetzung Ihrer Maßnahme." sqref="B11" xr:uid="{0B5B316A-C2B3-4A80-99ED-09689E5AF17E}"/>
    <dataValidation type="whole" allowBlank="1" showInputMessage="1" showErrorMessage="1" sqref="B12" xr:uid="{6AA44C94-F571-428C-AA16-F5A30E7CF661}">
      <formula1>1</formula1>
      <formula2>300</formula2>
    </dataValidation>
    <dataValidation type="date" operator="lessThan" allowBlank="1" showInputMessage="1" showErrorMessage="1" promptTitle="Hinweis" prompt="Das eingetragene Datum muss zeitlich vor dem &quot;Beginn der Maßnahme&quot; liegen. " sqref="B6" xr:uid="{E32BA8C9-D25D-4535-8DE8-D74A19572151}">
      <formula1>D6</formula1>
    </dataValidation>
    <dataValidation type="date" operator="greaterThanOrEqual" allowBlank="1" showInputMessage="1" showErrorMessage="1" promptTitle="Hinweis" prompt="Das eingetragene Datum muss zeitlich nach dem &quot;Datum der Erstellung&quot; liegen. " sqref="D6" xr:uid="{C9E322EC-1A60-4E06-A8B4-EC119D480714}">
      <formula1>B6</formula1>
    </dataValidation>
    <dataValidation type="date" operator="greaterThanOrEqual" allowBlank="1" showInputMessage="1" showErrorMessage="1" promptTitle="Hinweis" prompt="Das eingetragene Datum muss zeitlich auf oder nach den &quot;Beginn der Maßnahme&quot; fallen. " sqref="F6" xr:uid="{6A71C5D2-4704-4B74-9303-3D050A974F03}">
      <formula1>D6</formula1>
    </dataValidation>
  </dataValidations>
  <pageMargins left="0.7" right="0.7" top="0.78740157499999996" bottom="0.78740157499999996" header="0.3" footer="0.3"/>
  <pageSetup paperSize="9" scale="79" orientation="portrait"/>
  <headerFooter>
    <oddHeader xml:space="preserve">&amp;C
</oddHeader>
  </headerFooter>
  <drawing r:id="rId1"/>
  <legacyDrawing r:id="rId2"/>
  <controls>
    <mc:AlternateContent xmlns:mc="http://schemas.openxmlformats.org/markup-compatibility/2006">
      <mc:Choice Requires="x14">
        <control shapeId="1026" r:id="rId3" name="ComboBox1">
          <controlPr defaultSize="0" autoLine="0" autoPict="0" listFillRange="Hilfstabelle!A36:A39" r:id="rId4">
            <anchor moveWithCells="1">
              <from>
                <xdr:col>1</xdr:col>
                <xdr:colOff>123825</xdr:colOff>
                <xdr:row>22</xdr:row>
                <xdr:rowOff>28575</xdr:rowOff>
              </from>
              <to>
                <xdr:col>6</xdr:col>
                <xdr:colOff>866775</xdr:colOff>
                <xdr:row>22</xdr:row>
                <xdr:rowOff>257175</xdr:rowOff>
              </to>
            </anchor>
          </controlPr>
        </control>
      </mc:Choice>
      <mc:Fallback>
        <control shapeId="1026" r:id="rId3" name="ComboBox1"/>
      </mc:Fallback>
    </mc:AlternateContent>
    <mc:AlternateContent xmlns:mc="http://schemas.openxmlformats.org/markup-compatibility/2006">
      <mc:Choice Requires="x14">
        <control shapeId="1027" r:id="rId5" name="ComboBox2">
          <controlPr defaultSize="0" autoLine="0" autoPict="0" listFillRange="Hilfstabelle!A36:A39" r:id="rId4">
            <anchor moveWithCells="1">
              <from>
                <xdr:col>1</xdr:col>
                <xdr:colOff>123825</xdr:colOff>
                <xdr:row>23</xdr:row>
                <xdr:rowOff>28575</xdr:rowOff>
              </from>
              <to>
                <xdr:col>6</xdr:col>
                <xdr:colOff>866775</xdr:colOff>
                <xdr:row>23</xdr:row>
                <xdr:rowOff>257175</xdr:rowOff>
              </to>
            </anchor>
          </controlPr>
        </control>
      </mc:Choice>
      <mc:Fallback>
        <control shapeId="1027" r:id="rId5" name="ComboBox2"/>
      </mc:Fallback>
    </mc:AlternateContent>
    <mc:AlternateContent xmlns:mc="http://schemas.openxmlformats.org/markup-compatibility/2006">
      <mc:Choice Requires="x14">
        <control shapeId="1028" r:id="rId6" name="ComboBox3">
          <controlPr defaultSize="0" autoLine="0" autoPict="0" listFillRange="Hilfstabelle!A36:A39" r:id="rId4">
            <anchor moveWithCells="1">
              <from>
                <xdr:col>1</xdr:col>
                <xdr:colOff>123825</xdr:colOff>
                <xdr:row>24</xdr:row>
                <xdr:rowOff>28575</xdr:rowOff>
              </from>
              <to>
                <xdr:col>6</xdr:col>
                <xdr:colOff>866775</xdr:colOff>
                <xdr:row>24</xdr:row>
                <xdr:rowOff>257175</xdr:rowOff>
              </to>
            </anchor>
          </controlPr>
        </control>
      </mc:Choice>
      <mc:Fallback>
        <control shapeId="1028" r:id="rId6" name="ComboBox3"/>
      </mc:Fallback>
    </mc:AlternateContent>
    <mc:AlternateContent xmlns:mc="http://schemas.openxmlformats.org/markup-compatibility/2006">
      <mc:Choice Requires="x14">
        <control shapeId="1029" r:id="rId7" name="ComboBox4">
          <controlPr defaultSize="0" autoLine="0" autoPict="0" listFillRange="Hilfstabelle!A36:A39" r:id="rId4">
            <anchor moveWithCells="1">
              <from>
                <xdr:col>1</xdr:col>
                <xdr:colOff>123825</xdr:colOff>
                <xdr:row>25</xdr:row>
                <xdr:rowOff>28575</xdr:rowOff>
              </from>
              <to>
                <xdr:col>6</xdr:col>
                <xdr:colOff>866775</xdr:colOff>
                <xdr:row>25</xdr:row>
                <xdr:rowOff>257175</xdr:rowOff>
              </to>
            </anchor>
          </controlPr>
        </control>
      </mc:Choice>
      <mc:Fallback>
        <control shapeId="1029" r:id="rId7" name="ComboBox4"/>
      </mc:Fallback>
    </mc:AlternateContent>
    <mc:AlternateContent xmlns:mc="http://schemas.openxmlformats.org/markup-compatibility/2006">
      <mc:Choice Requires="x14">
        <control shapeId="1037" r:id="rId8" name="ComboBox11">
          <controlPr defaultSize="0" autoLine="0" listFillRange="Hilfstabelle!B36" r:id="rId9">
            <anchor moveWithCells="1">
              <from>
                <xdr:col>0</xdr:col>
                <xdr:colOff>0</xdr:colOff>
                <xdr:row>35</xdr:row>
                <xdr:rowOff>0</xdr:rowOff>
              </from>
              <to>
                <xdr:col>0</xdr:col>
                <xdr:colOff>828675</xdr:colOff>
                <xdr:row>108</xdr:row>
                <xdr:rowOff>142875</xdr:rowOff>
              </to>
            </anchor>
          </controlPr>
        </control>
      </mc:Choice>
      <mc:Fallback>
        <control shapeId="1037" r:id="rId8" name="ComboBox11"/>
      </mc:Fallback>
    </mc:AlternateContent>
    <mc:AlternateContent xmlns:mc="http://schemas.openxmlformats.org/markup-compatibility/2006">
      <mc:Choice Requires="x14">
        <control shapeId="1038" r:id="rId10" name="ComboBox12">
          <controlPr defaultSize="0" autoLine="0" listFillRange="Hilfstabelle!B37" r:id="rId11">
            <anchor moveWithCells="1">
              <from>
                <xdr:col>0</xdr:col>
                <xdr:colOff>0</xdr:colOff>
                <xdr:row>35</xdr:row>
                <xdr:rowOff>0</xdr:rowOff>
              </from>
              <to>
                <xdr:col>0</xdr:col>
                <xdr:colOff>828675</xdr:colOff>
                <xdr:row>108</xdr:row>
                <xdr:rowOff>171450</xdr:rowOff>
              </to>
            </anchor>
          </controlPr>
        </control>
      </mc:Choice>
      <mc:Fallback>
        <control shapeId="1038" r:id="rId10" name="ComboBox12"/>
      </mc:Fallback>
    </mc:AlternateContent>
    <mc:AlternateContent xmlns:mc="http://schemas.openxmlformats.org/markup-compatibility/2006">
      <mc:Choice Requires="x14">
        <control shapeId="1039" r:id="rId12" name="ComboBox13">
          <controlPr defaultSize="0" autoLine="0" listFillRange="Hilfstabelle!B38" r:id="rId13">
            <anchor moveWithCells="1">
              <from>
                <xdr:col>0</xdr:col>
                <xdr:colOff>0</xdr:colOff>
                <xdr:row>35</xdr:row>
                <xdr:rowOff>0</xdr:rowOff>
              </from>
              <to>
                <xdr:col>0</xdr:col>
                <xdr:colOff>828675</xdr:colOff>
                <xdr:row>108</xdr:row>
                <xdr:rowOff>161925</xdr:rowOff>
              </to>
            </anchor>
          </controlPr>
        </control>
      </mc:Choice>
      <mc:Fallback>
        <control shapeId="1039" r:id="rId12" name="ComboBox13"/>
      </mc:Fallback>
    </mc:AlternateContent>
    <mc:AlternateContent xmlns:mc="http://schemas.openxmlformats.org/markup-compatibility/2006">
      <mc:Choice Requires="x14">
        <control shapeId="1040" r:id="rId14" name="ComboBox14">
          <controlPr defaultSize="0" autoLine="0" listFillRange="Hilfstabelle!B39" r:id="rId13">
            <anchor moveWithCells="1">
              <from>
                <xdr:col>0</xdr:col>
                <xdr:colOff>0</xdr:colOff>
                <xdr:row>35</xdr:row>
                <xdr:rowOff>0</xdr:rowOff>
              </from>
              <to>
                <xdr:col>0</xdr:col>
                <xdr:colOff>828675</xdr:colOff>
                <xdr:row>108</xdr:row>
                <xdr:rowOff>161925</xdr:rowOff>
              </to>
            </anchor>
          </controlPr>
        </control>
      </mc:Choice>
      <mc:Fallback>
        <control shapeId="1040" r:id="rId14" name="ComboBox14"/>
      </mc:Fallback>
    </mc:AlternateContent>
    <mc:AlternateContent xmlns:mc="http://schemas.openxmlformats.org/markup-compatibility/2006">
      <mc:Choice Requires="x14">
        <control shapeId="1122" r:id="rId15" name="ComboBox5">
          <controlPr defaultSize="0" autoLine="0" listFillRange="Hilfstabelle!A7:A11" r:id="rId16">
            <anchor moveWithCells="1">
              <from>
                <xdr:col>1</xdr:col>
                <xdr:colOff>0</xdr:colOff>
                <xdr:row>13</xdr:row>
                <xdr:rowOff>0</xdr:rowOff>
              </from>
              <to>
                <xdr:col>2</xdr:col>
                <xdr:colOff>1057275</xdr:colOff>
                <xdr:row>13</xdr:row>
                <xdr:rowOff>219075</xdr:rowOff>
              </to>
            </anchor>
          </controlPr>
        </control>
      </mc:Choice>
      <mc:Fallback>
        <control shapeId="1122" r:id="rId15" name="ComboBox5"/>
      </mc:Fallback>
    </mc:AlternateContent>
    <mc:AlternateContent xmlns:mc="http://schemas.openxmlformats.org/markup-compatibility/2006">
      <mc:Choice Requires="x14">
        <control shapeId="1197" r:id="rId17" name="ComboBox6">
          <controlPr defaultSize="0" autoLine="0" listFillRange="Hilfstabelle!A7:A11" r:id="rId18">
            <anchor moveWithCells="1">
              <from>
                <xdr:col>1</xdr:col>
                <xdr:colOff>0</xdr:colOff>
                <xdr:row>14</xdr:row>
                <xdr:rowOff>0</xdr:rowOff>
              </from>
              <to>
                <xdr:col>2</xdr:col>
                <xdr:colOff>1057275</xdr:colOff>
                <xdr:row>14</xdr:row>
                <xdr:rowOff>219075</xdr:rowOff>
              </to>
            </anchor>
          </controlPr>
        </control>
      </mc:Choice>
      <mc:Fallback>
        <control shapeId="1197" r:id="rId17" name="ComboBox6"/>
      </mc:Fallback>
    </mc:AlternateContent>
    <mc:AlternateContent xmlns:mc="http://schemas.openxmlformats.org/markup-compatibility/2006">
      <mc:Choice Requires="x14">
        <control shapeId="1198" r:id="rId19" name="ComboBox7">
          <controlPr defaultSize="0" autoLine="0" autoPict="0" listFillRange="Hilfstabelle!A7:A11" r:id="rId18">
            <anchor moveWithCells="1">
              <from>
                <xdr:col>0</xdr:col>
                <xdr:colOff>914400</xdr:colOff>
                <xdr:row>15</xdr:row>
                <xdr:rowOff>0</xdr:rowOff>
              </from>
              <to>
                <xdr:col>2</xdr:col>
                <xdr:colOff>1057275</xdr:colOff>
                <xdr:row>18</xdr:row>
                <xdr:rowOff>219075</xdr:rowOff>
              </to>
            </anchor>
          </controlPr>
        </control>
      </mc:Choice>
      <mc:Fallback>
        <control shapeId="1198" r:id="rId19" name="ComboBox7"/>
      </mc:Fallback>
    </mc:AlternateContent>
    <mc:AlternateContent xmlns:mc="http://schemas.openxmlformats.org/markup-compatibility/2006">
      <mc:Choice Requires="x14">
        <control shapeId="1199" r:id="rId20" name="ComboBox8">
          <controlPr defaultSize="0" autoLine="0" autoPict="0" listFillRange="Hilfstabelle!A7:A11" r:id="rId18">
            <anchor moveWithCells="1">
              <from>
                <xdr:col>0</xdr:col>
                <xdr:colOff>914400</xdr:colOff>
                <xdr:row>16</xdr:row>
                <xdr:rowOff>0</xdr:rowOff>
              </from>
              <to>
                <xdr:col>2</xdr:col>
                <xdr:colOff>1057275</xdr:colOff>
                <xdr:row>18</xdr:row>
                <xdr:rowOff>219075</xdr:rowOff>
              </to>
            </anchor>
          </controlPr>
        </control>
      </mc:Choice>
      <mc:Fallback>
        <control shapeId="1199" r:id="rId20" name="ComboBox8"/>
      </mc:Fallback>
    </mc:AlternateContent>
    <mc:AlternateContent xmlns:mc="http://schemas.openxmlformats.org/markup-compatibility/2006">
      <mc:Choice Requires="x14">
        <control shapeId="1200" r:id="rId21" name="ComboBox9">
          <controlPr defaultSize="0" autoLine="0" autoPict="0" listFillRange="Hilfstabelle!A7:A11" r:id="rId18">
            <anchor moveWithCells="1">
              <from>
                <xdr:col>0</xdr:col>
                <xdr:colOff>914400</xdr:colOff>
                <xdr:row>17</xdr:row>
                <xdr:rowOff>0</xdr:rowOff>
              </from>
              <to>
                <xdr:col>2</xdr:col>
                <xdr:colOff>1057275</xdr:colOff>
                <xdr:row>18</xdr:row>
                <xdr:rowOff>219075</xdr:rowOff>
              </to>
            </anchor>
          </controlPr>
        </control>
      </mc:Choice>
      <mc:Fallback>
        <control shapeId="1200" r:id="rId21" name="ComboBox9"/>
      </mc:Fallback>
    </mc:AlternateContent>
    <mc:AlternateContent xmlns:mc="http://schemas.openxmlformats.org/markup-compatibility/2006">
      <mc:Choice Requires="x14">
        <control shapeId="1206" r:id="rId22" name="Label2">
          <controlPr defaultSize="0" autoLine="0" r:id="rId23">
            <anchor moveWithCells="1">
              <from>
                <xdr:col>4</xdr:col>
                <xdr:colOff>0</xdr:colOff>
                <xdr:row>122</xdr:row>
                <xdr:rowOff>0</xdr:rowOff>
              </from>
              <to>
                <xdr:col>4</xdr:col>
                <xdr:colOff>771525</xdr:colOff>
                <xdr:row>122</xdr:row>
                <xdr:rowOff>190500</xdr:rowOff>
              </to>
            </anchor>
          </controlPr>
        </control>
      </mc:Choice>
      <mc:Fallback>
        <control shapeId="1206" r:id="rId22" name="Label2"/>
      </mc:Fallback>
    </mc:AlternateContent>
    <mc:AlternateContent xmlns:mc="http://schemas.openxmlformats.org/markup-compatibility/2006">
      <mc:Choice Requires="x14">
        <control shapeId="1207" r:id="rId24" name="Label3">
          <controlPr defaultSize="0" autoLine="0" r:id="rId25">
            <anchor moveWithCells="1">
              <from>
                <xdr:col>5</xdr:col>
                <xdr:colOff>0</xdr:colOff>
                <xdr:row>122</xdr:row>
                <xdr:rowOff>0</xdr:rowOff>
              </from>
              <to>
                <xdr:col>5</xdr:col>
                <xdr:colOff>885825</xdr:colOff>
                <xdr:row>122</xdr:row>
                <xdr:rowOff>200025</xdr:rowOff>
              </to>
            </anchor>
          </controlPr>
        </control>
      </mc:Choice>
      <mc:Fallback>
        <control shapeId="1207" r:id="rId24" name="Label3"/>
      </mc:Fallback>
    </mc:AlternateContent>
    <mc:AlternateContent xmlns:mc="http://schemas.openxmlformats.org/markup-compatibility/2006">
      <mc:Choice Requires="x14">
        <control shapeId="1208" r:id="rId26" name="TextBox1">
          <controlPr defaultSize="0" autoLine="0" r:id="rId27">
            <anchor moveWithCells="1">
              <from>
                <xdr:col>3</xdr:col>
                <xdr:colOff>0</xdr:colOff>
                <xdr:row>122</xdr:row>
                <xdr:rowOff>0</xdr:rowOff>
              </from>
              <to>
                <xdr:col>3</xdr:col>
                <xdr:colOff>885825</xdr:colOff>
                <xdr:row>138</xdr:row>
                <xdr:rowOff>19050</xdr:rowOff>
              </to>
            </anchor>
          </controlPr>
        </control>
      </mc:Choice>
      <mc:Fallback>
        <control shapeId="1208" r:id="rId26" name="TextBox1"/>
      </mc:Fallback>
    </mc:AlternateContent>
    <mc:AlternateContent xmlns:mc="http://schemas.openxmlformats.org/markup-compatibility/2006">
      <mc:Choice Requires="x14">
        <control shapeId="1209" r:id="rId28" name="TextBox2">
          <controlPr defaultSize="0" autoLine="0" r:id="rId29">
            <anchor moveWithCells="1">
              <from>
                <xdr:col>4</xdr:col>
                <xdr:colOff>0</xdr:colOff>
                <xdr:row>122</xdr:row>
                <xdr:rowOff>0</xdr:rowOff>
              </from>
              <to>
                <xdr:col>4</xdr:col>
                <xdr:colOff>885825</xdr:colOff>
                <xdr:row>137</xdr:row>
                <xdr:rowOff>95250</xdr:rowOff>
              </to>
            </anchor>
          </controlPr>
        </control>
      </mc:Choice>
      <mc:Fallback>
        <control shapeId="1209" r:id="rId28" name="TextBox2"/>
      </mc:Fallback>
    </mc:AlternateContent>
    <mc:AlternateContent xmlns:mc="http://schemas.openxmlformats.org/markup-compatibility/2006">
      <mc:Choice Requires="x14">
        <control shapeId="1210" r:id="rId30" name="TextBox3">
          <controlPr defaultSize="0" autoLine="0" r:id="rId31">
            <anchor moveWithCells="1">
              <from>
                <xdr:col>5</xdr:col>
                <xdr:colOff>0</xdr:colOff>
                <xdr:row>122</xdr:row>
                <xdr:rowOff>0</xdr:rowOff>
              </from>
              <to>
                <xdr:col>5</xdr:col>
                <xdr:colOff>885825</xdr:colOff>
                <xdr:row>137</xdr:row>
                <xdr:rowOff>95250</xdr:rowOff>
              </to>
            </anchor>
          </controlPr>
        </control>
      </mc:Choice>
      <mc:Fallback>
        <control shapeId="1210" r:id="rId30" name="TextBox3"/>
      </mc:Fallback>
    </mc:AlternateContent>
    <mc:AlternateContent xmlns:mc="http://schemas.openxmlformats.org/markup-compatibility/2006">
      <mc:Choice Requires="x14">
        <control shapeId="1213" r:id="rId32" name="CheckBox1">
          <controlPr defaultSize="0" autoLine="0" r:id="rId33">
            <anchor moveWithCells="1">
              <from>
                <xdr:col>0</xdr:col>
                <xdr:colOff>0</xdr:colOff>
                <xdr:row>126</xdr:row>
                <xdr:rowOff>0</xdr:rowOff>
              </from>
              <to>
                <xdr:col>0</xdr:col>
                <xdr:colOff>676275</xdr:colOff>
                <xdr:row>134</xdr:row>
                <xdr:rowOff>28575</xdr:rowOff>
              </to>
            </anchor>
          </controlPr>
        </control>
      </mc:Choice>
      <mc:Fallback>
        <control shapeId="1213" r:id="rId32" name="CheckBox1"/>
      </mc:Fallback>
    </mc:AlternateContent>
    <mc:AlternateContent xmlns:mc="http://schemas.openxmlformats.org/markup-compatibility/2006">
      <mc:Choice Requires="x14">
        <control shapeId="1214" r:id="rId34" name="Label4">
          <controlPr defaultSize="0" autoLine="0" r:id="rId35">
            <anchor moveWithCells="1">
              <from>
                <xdr:col>6</xdr:col>
                <xdr:colOff>0</xdr:colOff>
                <xdr:row>122</xdr:row>
                <xdr:rowOff>0</xdr:rowOff>
              </from>
              <to>
                <xdr:col>6</xdr:col>
                <xdr:colOff>704850</xdr:colOff>
                <xdr:row>126</xdr:row>
                <xdr:rowOff>171450</xdr:rowOff>
              </to>
            </anchor>
          </controlPr>
        </control>
      </mc:Choice>
      <mc:Fallback>
        <control shapeId="1214" r:id="rId34" name="Label4"/>
      </mc:Fallback>
    </mc:AlternateContent>
    <mc:AlternateContent xmlns:mc="http://schemas.openxmlformats.org/markup-compatibility/2006">
      <mc:Choice Requires="x14">
        <control shapeId="1237" r:id="rId36" name="CheckBox2">
          <controlPr defaultSize="0" autoFill="0" autoLine="0" r:id="rId37">
            <anchor moveWithCells="1">
              <from>
                <xdr:col>2</xdr:col>
                <xdr:colOff>0</xdr:colOff>
                <xdr:row>126</xdr:row>
                <xdr:rowOff>0</xdr:rowOff>
              </from>
              <to>
                <xdr:col>2</xdr:col>
                <xdr:colOff>828675</xdr:colOff>
                <xdr:row>126</xdr:row>
                <xdr:rowOff>238125</xdr:rowOff>
              </to>
            </anchor>
          </controlPr>
        </control>
      </mc:Choice>
      <mc:Fallback>
        <control shapeId="1237" r:id="rId36" name="CheckBox2"/>
      </mc:Fallback>
    </mc:AlternateContent>
    <mc:AlternateContent xmlns:mc="http://schemas.openxmlformats.org/markup-compatibility/2006">
      <mc:Choice Requires="x14">
        <control shapeId="1238" r:id="rId38" name="CheckBox3">
          <controlPr defaultSize="0" autoFill="0" autoLine="0" r:id="rId39">
            <anchor moveWithCells="1">
              <from>
                <xdr:col>3</xdr:col>
                <xdr:colOff>0</xdr:colOff>
                <xdr:row>126</xdr:row>
                <xdr:rowOff>0</xdr:rowOff>
              </from>
              <to>
                <xdr:col>3</xdr:col>
                <xdr:colOff>828675</xdr:colOff>
                <xdr:row>126</xdr:row>
                <xdr:rowOff>238125</xdr:rowOff>
              </to>
            </anchor>
          </controlPr>
        </control>
      </mc:Choice>
      <mc:Fallback>
        <control shapeId="1238" r:id="rId38" name="CheckBox3"/>
      </mc:Fallback>
    </mc:AlternateContent>
    <mc:AlternateContent xmlns:mc="http://schemas.openxmlformats.org/markup-compatibility/2006">
      <mc:Choice Requires="x14">
        <control shapeId="1239" r:id="rId40" name="CheckBox4">
          <controlPr defaultSize="0" autoFill="0" autoLine="0" r:id="rId41">
            <anchor moveWithCells="1">
              <from>
                <xdr:col>4</xdr:col>
                <xdr:colOff>0</xdr:colOff>
                <xdr:row>126</xdr:row>
                <xdr:rowOff>0</xdr:rowOff>
              </from>
              <to>
                <xdr:col>4</xdr:col>
                <xdr:colOff>828675</xdr:colOff>
                <xdr:row>126</xdr:row>
                <xdr:rowOff>238125</xdr:rowOff>
              </to>
            </anchor>
          </controlPr>
        </control>
      </mc:Choice>
      <mc:Fallback>
        <control shapeId="1239" r:id="rId40" name="CheckBox4"/>
      </mc:Fallback>
    </mc:AlternateContent>
    <mc:AlternateContent xmlns:mc="http://schemas.openxmlformats.org/markup-compatibility/2006">
      <mc:Choice Requires="x14">
        <control shapeId="1240" r:id="rId42" name="Label1">
          <controlPr defaultSize="0" autoLine="0" r:id="rId43">
            <anchor moveWithCells="1">
              <from>
                <xdr:col>3</xdr:col>
                <xdr:colOff>0</xdr:colOff>
                <xdr:row>122</xdr:row>
                <xdr:rowOff>0</xdr:rowOff>
              </from>
              <to>
                <xdr:col>3</xdr:col>
                <xdr:colOff>742950</xdr:colOff>
                <xdr:row>122</xdr:row>
                <xdr:rowOff>200025</xdr:rowOff>
              </to>
            </anchor>
          </controlPr>
        </control>
      </mc:Choice>
      <mc:Fallback>
        <control shapeId="1240" r:id="rId42" name="Label1"/>
      </mc:Fallback>
    </mc:AlternateContent>
    <mc:AlternateContent xmlns:mc="http://schemas.openxmlformats.org/markup-compatibility/2006">
      <mc:Choice Requires="x14">
        <control shapeId="1241" r:id="rId44" name="CheckBox5">
          <controlPr defaultSize="0" autoFill="0" autoLine="0" r:id="rId45">
            <anchor moveWithCells="1">
              <from>
                <xdr:col>2</xdr:col>
                <xdr:colOff>0</xdr:colOff>
                <xdr:row>126</xdr:row>
                <xdr:rowOff>0</xdr:rowOff>
              </from>
              <to>
                <xdr:col>2</xdr:col>
                <xdr:colOff>828675</xdr:colOff>
                <xdr:row>126</xdr:row>
                <xdr:rowOff>238125</xdr:rowOff>
              </to>
            </anchor>
          </controlPr>
        </control>
      </mc:Choice>
      <mc:Fallback>
        <control shapeId="1241" r:id="rId44" name="CheckBox5"/>
      </mc:Fallback>
    </mc:AlternateContent>
    <mc:AlternateContent xmlns:mc="http://schemas.openxmlformats.org/markup-compatibility/2006">
      <mc:Choice Requires="x14">
        <control shapeId="1242" r:id="rId46" name="CheckBox8">
          <controlPr defaultSize="0" autoFill="0" autoLine="0" r:id="rId47">
            <anchor moveWithCells="1">
              <from>
                <xdr:col>3</xdr:col>
                <xdr:colOff>0</xdr:colOff>
                <xdr:row>126</xdr:row>
                <xdr:rowOff>0</xdr:rowOff>
              </from>
              <to>
                <xdr:col>3</xdr:col>
                <xdr:colOff>828675</xdr:colOff>
                <xdr:row>126</xdr:row>
                <xdr:rowOff>238125</xdr:rowOff>
              </to>
            </anchor>
          </controlPr>
        </control>
      </mc:Choice>
      <mc:Fallback>
        <control shapeId="1242" r:id="rId46" name="CheckBox8"/>
      </mc:Fallback>
    </mc:AlternateContent>
    <mc:AlternateContent xmlns:mc="http://schemas.openxmlformats.org/markup-compatibility/2006">
      <mc:Choice Requires="x14">
        <control shapeId="1243" r:id="rId48" name="CheckBox9">
          <controlPr defaultSize="0" autoFill="0" autoLine="0" r:id="rId49">
            <anchor moveWithCells="1">
              <from>
                <xdr:col>4</xdr:col>
                <xdr:colOff>0</xdr:colOff>
                <xdr:row>126</xdr:row>
                <xdr:rowOff>0</xdr:rowOff>
              </from>
              <to>
                <xdr:col>4</xdr:col>
                <xdr:colOff>828675</xdr:colOff>
                <xdr:row>126</xdr:row>
                <xdr:rowOff>238125</xdr:rowOff>
              </to>
            </anchor>
          </controlPr>
        </control>
      </mc:Choice>
      <mc:Fallback>
        <control shapeId="1243" r:id="rId48" name="CheckBox9"/>
      </mc:Fallback>
    </mc:AlternateContent>
    <mc:AlternateContent xmlns:mc="http://schemas.openxmlformats.org/markup-compatibility/2006">
      <mc:Choice Requires="x14">
        <control shapeId="1253" r:id="rId50" name="TextBox12">
          <controlPr defaultSize="0" autoLine="0" r:id="rId51">
            <anchor moveWithCells="1">
              <from>
                <xdr:col>6</xdr:col>
                <xdr:colOff>0</xdr:colOff>
                <xdr:row>122</xdr:row>
                <xdr:rowOff>0</xdr:rowOff>
              </from>
              <to>
                <xdr:col>6</xdr:col>
                <xdr:colOff>885825</xdr:colOff>
                <xdr:row>137</xdr:row>
                <xdr:rowOff>95250</xdr:rowOff>
              </to>
            </anchor>
          </controlPr>
        </control>
      </mc:Choice>
      <mc:Fallback>
        <control shapeId="1253" r:id="rId50" name="TextBox12"/>
      </mc:Fallback>
    </mc:AlternateContent>
    <mc:AlternateContent xmlns:mc="http://schemas.openxmlformats.org/markup-compatibility/2006">
      <mc:Choice Requires="x14">
        <control shapeId="1254" r:id="rId52" name="Label12">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54" r:id="rId52" name="Label12"/>
      </mc:Fallback>
    </mc:AlternateContent>
    <mc:AlternateContent xmlns:mc="http://schemas.openxmlformats.org/markup-compatibility/2006">
      <mc:Choice Requires="x14">
        <control shapeId="1255" r:id="rId54" name="CheckBox12">
          <controlPr defaultSize="0" autoFill="0" autoLine="0" r:id="rId55">
            <anchor moveWithCells="1">
              <from>
                <xdr:col>1</xdr:col>
                <xdr:colOff>0</xdr:colOff>
                <xdr:row>126</xdr:row>
                <xdr:rowOff>0</xdr:rowOff>
              </from>
              <to>
                <xdr:col>1</xdr:col>
                <xdr:colOff>828675</xdr:colOff>
                <xdr:row>126</xdr:row>
                <xdr:rowOff>238125</xdr:rowOff>
              </to>
            </anchor>
          </controlPr>
        </control>
      </mc:Choice>
      <mc:Fallback>
        <control shapeId="1255" r:id="rId54" name="CheckBox12"/>
      </mc:Fallback>
    </mc:AlternateContent>
    <mc:AlternateContent xmlns:mc="http://schemas.openxmlformats.org/markup-compatibility/2006">
      <mc:Choice Requires="x14">
        <control shapeId="1256" r:id="rId56" name="CheckBox13">
          <controlPr defaultSize="0" autoFill="0" autoLine="0" r:id="rId57">
            <anchor moveWithCells="1">
              <from>
                <xdr:col>1</xdr:col>
                <xdr:colOff>0</xdr:colOff>
                <xdr:row>126</xdr:row>
                <xdr:rowOff>0</xdr:rowOff>
              </from>
              <to>
                <xdr:col>1</xdr:col>
                <xdr:colOff>828675</xdr:colOff>
                <xdr:row>126</xdr:row>
                <xdr:rowOff>238125</xdr:rowOff>
              </to>
            </anchor>
          </controlPr>
        </control>
      </mc:Choice>
      <mc:Fallback>
        <control shapeId="1256" r:id="rId56" name="CheckBox13"/>
      </mc:Fallback>
    </mc:AlternateContent>
    <mc:AlternateContent xmlns:mc="http://schemas.openxmlformats.org/markup-compatibility/2006">
      <mc:Choice Requires="x14">
        <control shapeId="1278" r:id="rId58" name="Label13">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78" r:id="rId58" name="Label13"/>
      </mc:Fallback>
    </mc:AlternateContent>
    <mc:AlternateContent xmlns:mc="http://schemas.openxmlformats.org/markup-compatibility/2006">
      <mc:Choice Requires="x14">
        <control shapeId="1279" r:id="rId59" name="Label14">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79" r:id="rId59" name="Label14"/>
      </mc:Fallback>
    </mc:AlternateContent>
    <mc:AlternateContent xmlns:mc="http://schemas.openxmlformats.org/markup-compatibility/2006">
      <mc:Choice Requires="x14">
        <control shapeId="1280" r:id="rId60" name="Label15">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0" r:id="rId60" name="Label15"/>
      </mc:Fallback>
    </mc:AlternateContent>
    <mc:AlternateContent xmlns:mc="http://schemas.openxmlformats.org/markup-compatibility/2006">
      <mc:Choice Requires="x14">
        <control shapeId="1281" r:id="rId61" name="Label16">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1" r:id="rId61" name="Label16"/>
      </mc:Fallback>
    </mc:AlternateContent>
    <mc:AlternateContent xmlns:mc="http://schemas.openxmlformats.org/markup-compatibility/2006">
      <mc:Choice Requires="x14">
        <control shapeId="1282" r:id="rId62" name="Label17">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2" r:id="rId62" name="Label17"/>
      </mc:Fallback>
    </mc:AlternateContent>
    <mc:AlternateContent xmlns:mc="http://schemas.openxmlformats.org/markup-compatibility/2006">
      <mc:Choice Requires="x14">
        <control shapeId="1283" r:id="rId63" name="Label18">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3" r:id="rId63" name="Label18"/>
      </mc:Fallback>
    </mc:AlternateContent>
    <mc:AlternateContent xmlns:mc="http://schemas.openxmlformats.org/markup-compatibility/2006">
      <mc:Choice Requires="x14">
        <control shapeId="1284" r:id="rId64" name="Label19">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4" r:id="rId64" name="Label19"/>
      </mc:Fallback>
    </mc:AlternateContent>
    <mc:AlternateContent xmlns:mc="http://schemas.openxmlformats.org/markup-compatibility/2006">
      <mc:Choice Requires="x14">
        <control shapeId="1285" r:id="rId65" name="Label20">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5" r:id="rId65" name="Label20"/>
      </mc:Fallback>
    </mc:AlternateContent>
    <mc:AlternateContent xmlns:mc="http://schemas.openxmlformats.org/markup-compatibility/2006">
      <mc:Choice Requires="x14">
        <control shapeId="1286" r:id="rId66" name="Label21">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6" r:id="rId66" name="Label21"/>
      </mc:Fallback>
    </mc:AlternateContent>
    <mc:AlternateContent xmlns:mc="http://schemas.openxmlformats.org/markup-compatibility/2006">
      <mc:Choice Requires="x14">
        <control shapeId="1287" r:id="rId67" name="Label22">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7" r:id="rId67" name="Label22"/>
      </mc:Fallback>
    </mc:AlternateContent>
    <mc:AlternateContent xmlns:mc="http://schemas.openxmlformats.org/markup-compatibility/2006">
      <mc:Choice Requires="x14">
        <control shapeId="1288" r:id="rId68" name="Label23">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8" r:id="rId68" name="Label23"/>
      </mc:Fallback>
    </mc:AlternateContent>
    <mc:AlternateContent xmlns:mc="http://schemas.openxmlformats.org/markup-compatibility/2006">
      <mc:Choice Requires="x14">
        <control shapeId="1289" r:id="rId69" name="Label24">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89" r:id="rId69" name="Label24"/>
      </mc:Fallback>
    </mc:AlternateContent>
    <mc:AlternateContent xmlns:mc="http://schemas.openxmlformats.org/markup-compatibility/2006">
      <mc:Choice Requires="x14">
        <control shapeId="1290" r:id="rId70" name="Label25">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90" r:id="rId70" name="Label25"/>
      </mc:Fallback>
    </mc:AlternateContent>
    <mc:AlternateContent xmlns:mc="http://schemas.openxmlformats.org/markup-compatibility/2006">
      <mc:Choice Requires="x14">
        <control shapeId="1291" r:id="rId71" name="Label26">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91" r:id="rId71" name="Label26"/>
      </mc:Fallback>
    </mc:AlternateContent>
    <mc:AlternateContent xmlns:mc="http://schemas.openxmlformats.org/markup-compatibility/2006">
      <mc:Choice Requires="x14">
        <control shapeId="1292" r:id="rId72" name="Label27">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92" r:id="rId72" name="Label27"/>
      </mc:Fallback>
    </mc:AlternateContent>
    <mc:AlternateContent xmlns:mc="http://schemas.openxmlformats.org/markup-compatibility/2006">
      <mc:Choice Requires="x14">
        <control shapeId="1293" r:id="rId73" name="Label28">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93" r:id="rId73" name="Label28"/>
      </mc:Fallback>
    </mc:AlternateContent>
    <mc:AlternateContent xmlns:mc="http://schemas.openxmlformats.org/markup-compatibility/2006">
      <mc:Choice Requires="x14">
        <control shapeId="1294" r:id="rId74" name="Label29">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94" r:id="rId74" name="Label29"/>
      </mc:Fallback>
    </mc:AlternateContent>
    <mc:AlternateContent xmlns:mc="http://schemas.openxmlformats.org/markup-compatibility/2006">
      <mc:Choice Requires="x14">
        <control shapeId="1295" r:id="rId75" name="Label30">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95" r:id="rId75" name="Label30"/>
      </mc:Fallback>
    </mc:AlternateContent>
    <mc:AlternateContent xmlns:mc="http://schemas.openxmlformats.org/markup-compatibility/2006">
      <mc:Choice Requires="x14">
        <control shapeId="1296" r:id="rId76" name="Label31">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96" r:id="rId76" name="Label31"/>
      </mc:Fallback>
    </mc:AlternateContent>
    <mc:AlternateContent xmlns:mc="http://schemas.openxmlformats.org/markup-compatibility/2006">
      <mc:Choice Requires="x14">
        <control shapeId="1297" r:id="rId77" name="Label32">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97" r:id="rId77" name="Label32"/>
      </mc:Fallback>
    </mc:AlternateContent>
    <mc:AlternateContent xmlns:mc="http://schemas.openxmlformats.org/markup-compatibility/2006">
      <mc:Choice Requires="x14">
        <control shapeId="1298" r:id="rId78" name="Label33">
          <controlPr defaultSize="0" autoLine="0" r:id="rId53">
            <anchor moveWithCells="1">
              <from>
                <xdr:col>6</xdr:col>
                <xdr:colOff>0</xdr:colOff>
                <xdr:row>122</xdr:row>
                <xdr:rowOff>0</xdr:rowOff>
              </from>
              <to>
                <xdr:col>6</xdr:col>
                <xdr:colOff>676275</xdr:colOff>
                <xdr:row>122</xdr:row>
                <xdr:rowOff>238125</xdr:rowOff>
              </to>
            </anchor>
          </controlPr>
        </control>
      </mc:Choice>
      <mc:Fallback>
        <control shapeId="1298" r:id="rId78" name="Label33"/>
      </mc:Fallback>
    </mc:AlternateContent>
    <mc:AlternateContent xmlns:mc="http://schemas.openxmlformats.org/markup-compatibility/2006">
      <mc:Choice Requires="x14">
        <control shapeId="1299" r:id="rId79" name="ToggleButton1">
          <controlPr defaultSize="0" autoLine="0" autoPict="0" r:id="rId80">
            <anchor moveWithCells="1">
              <from>
                <xdr:col>0</xdr:col>
                <xdr:colOff>9525</xdr:colOff>
                <xdr:row>3</xdr:row>
                <xdr:rowOff>609600</xdr:rowOff>
              </from>
              <to>
                <xdr:col>6</xdr:col>
                <xdr:colOff>923925</xdr:colOff>
                <xdr:row>4</xdr:row>
                <xdr:rowOff>0</xdr:rowOff>
              </to>
            </anchor>
          </controlPr>
        </control>
      </mc:Choice>
      <mc:Fallback>
        <control shapeId="1299" r:id="rId79" name="ToggleButton1"/>
      </mc:Fallback>
    </mc:AlternateContent>
    <mc:AlternateContent xmlns:mc="http://schemas.openxmlformats.org/markup-compatibility/2006">
      <mc:Choice Requires="x14">
        <control shapeId="1300" r:id="rId81" name="CheckBox6">
          <controlPr defaultSize="0" autoFill="0" autoLine="0" r:id="rId82">
            <anchor moveWithCells="1">
              <from>
                <xdr:col>2</xdr:col>
                <xdr:colOff>0</xdr:colOff>
                <xdr:row>35</xdr:row>
                <xdr:rowOff>0</xdr:rowOff>
              </from>
              <to>
                <xdr:col>2</xdr:col>
                <xdr:colOff>504825</xdr:colOff>
                <xdr:row>35</xdr:row>
                <xdr:rowOff>219075</xdr:rowOff>
              </to>
            </anchor>
          </controlPr>
        </control>
      </mc:Choice>
      <mc:Fallback>
        <control shapeId="1300" r:id="rId81" name="CheckBox6"/>
      </mc:Fallback>
    </mc:AlternateContent>
    <mc:AlternateContent xmlns:mc="http://schemas.openxmlformats.org/markup-compatibility/2006">
      <mc:Choice Requires="x14">
        <control shapeId="1301" r:id="rId83" name="CheckBox7">
          <controlPr defaultSize="0" autoFill="0" autoLine="0" r:id="rId84">
            <anchor moveWithCells="1">
              <from>
                <xdr:col>3</xdr:col>
                <xdr:colOff>0</xdr:colOff>
                <xdr:row>35</xdr:row>
                <xdr:rowOff>0</xdr:rowOff>
              </from>
              <to>
                <xdr:col>3</xdr:col>
                <xdr:colOff>504825</xdr:colOff>
                <xdr:row>35</xdr:row>
                <xdr:rowOff>219075</xdr:rowOff>
              </to>
            </anchor>
          </controlPr>
        </control>
      </mc:Choice>
      <mc:Fallback>
        <control shapeId="1301" r:id="rId83" name="CheckBox7"/>
      </mc:Fallback>
    </mc:AlternateContent>
    <mc:AlternateContent xmlns:mc="http://schemas.openxmlformats.org/markup-compatibility/2006">
      <mc:Choice Requires="x14">
        <control shapeId="1302" r:id="rId85" name="CheckBox10">
          <controlPr defaultSize="0" autoFill="0" autoLine="0" r:id="rId86">
            <anchor moveWithCells="1">
              <from>
                <xdr:col>4</xdr:col>
                <xdr:colOff>0</xdr:colOff>
                <xdr:row>35</xdr:row>
                <xdr:rowOff>0</xdr:rowOff>
              </from>
              <to>
                <xdr:col>4</xdr:col>
                <xdr:colOff>504825</xdr:colOff>
                <xdr:row>35</xdr:row>
                <xdr:rowOff>219075</xdr:rowOff>
              </to>
            </anchor>
          </controlPr>
        </control>
      </mc:Choice>
      <mc:Fallback>
        <control shapeId="1302" r:id="rId85" name="CheckBox10"/>
      </mc:Fallback>
    </mc:AlternateContent>
    <mc:AlternateContent xmlns:mc="http://schemas.openxmlformats.org/markup-compatibility/2006">
      <mc:Choice Requires="x14">
        <control shapeId="1303" r:id="rId87" name="CheckBox11">
          <controlPr defaultSize="0" autoFill="0" autoLine="0" r:id="rId88">
            <anchor moveWithCells="1">
              <from>
                <xdr:col>5</xdr:col>
                <xdr:colOff>0</xdr:colOff>
                <xdr:row>35</xdr:row>
                <xdr:rowOff>0</xdr:rowOff>
              </from>
              <to>
                <xdr:col>5</xdr:col>
                <xdr:colOff>504825</xdr:colOff>
                <xdr:row>35</xdr:row>
                <xdr:rowOff>219075</xdr:rowOff>
              </to>
            </anchor>
          </controlPr>
        </control>
      </mc:Choice>
      <mc:Fallback>
        <control shapeId="1303" r:id="rId87" name="CheckBox11"/>
      </mc:Fallback>
    </mc:AlternateContent>
    <mc:AlternateContent xmlns:mc="http://schemas.openxmlformats.org/markup-compatibility/2006">
      <mc:Choice Requires="x14">
        <control shapeId="1304" r:id="rId89" name="CheckBox14">
          <controlPr defaultSize="0" autoFill="0" autoLine="0" r:id="rId90">
            <anchor moveWithCells="1">
              <from>
                <xdr:col>6</xdr:col>
                <xdr:colOff>0</xdr:colOff>
                <xdr:row>35</xdr:row>
                <xdr:rowOff>0</xdr:rowOff>
              </from>
              <to>
                <xdr:col>6</xdr:col>
                <xdr:colOff>504825</xdr:colOff>
                <xdr:row>35</xdr:row>
                <xdr:rowOff>219075</xdr:rowOff>
              </to>
            </anchor>
          </controlPr>
        </control>
      </mc:Choice>
      <mc:Fallback>
        <control shapeId="1304" r:id="rId89" name="CheckBox14"/>
      </mc:Fallback>
    </mc:AlternateContent>
    <mc:AlternateContent xmlns:mc="http://schemas.openxmlformats.org/markup-compatibility/2006">
      <mc:Choice Requires="x14">
        <control shapeId="1307" r:id="rId91" name="CheckBox15">
          <controlPr defaultSize="0" autoFill="0" autoLine="0" r:id="rId92">
            <anchor moveWithCells="1">
              <from>
                <xdr:col>2</xdr:col>
                <xdr:colOff>0</xdr:colOff>
                <xdr:row>35</xdr:row>
                <xdr:rowOff>0</xdr:rowOff>
              </from>
              <to>
                <xdr:col>2</xdr:col>
                <xdr:colOff>495300</xdr:colOff>
                <xdr:row>35</xdr:row>
                <xdr:rowOff>228600</xdr:rowOff>
              </to>
            </anchor>
          </controlPr>
        </control>
      </mc:Choice>
      <mc:Fallback>
        <control shapeId="1307" r:id="rId91" name="CheckBox15"/>
      </mc:Fallback>
    </mc:AlternateContent>
    <mc:AlternateContent xmlns:mc="http://schemas.openxmlformats.org/markup-compatibility/2006">
      <mc:Choice Requires="x14">
        <control shapeId="1308" r:id="rId93" name="CheckBox16">
          <controlPr defaultSize="0" autoFill="0" autoLine="0" r:id="rId94">
            <anchor moveWithCells="1">
              <from>
                <xdr:col>3</xdr:col>
                <xdr:colOff>0</xdr:colOff>
                <xdr:row>35</xdr:row>
                <xdr:rowOff>0</xdr:rowOff>
              </from>
              <to>
                <xdr:col>3</xdr:col>
                <xdr:colOff>504825</xdr:colOff>
                <xdr:row>35</xdr:row>
                <xdr:rowOff>228600</xdr:rowOff>
              </to>
            </anchor>
          </controlPr>
        </control>
      </mc:Choice>
      <mc:Fallback>
        <control shapeId="1308" r:id="rId93" name="CheckBox16"/>
      </mc:Fallback>
    </mc:AlternateContent>
    <mc:AlternateContent xmlns:mc="http://schemas.openxmlformats.org/markup-compatibility/2006">
      <mc:Choice Requires="x14">
        <control shapeId="1309" r:id="rId95" name="CheckBox17">
          <controlPr defaultSize="0" autoFill="0" autoLine="0" r:id="rId96">
            <anchor moveWithCells="1">
              <from>
                <xdr:col>4</xdr:col>
                <xdr:colOff>0</xdr:colOff>
                <xdr:row>35</xdr:row>
                <xdr:rowOff>0</xdr:rowOff>
              </from>
              <to>
                <xdr:col>4</xdr:col>
                <xdr:colOff>504825</xdr:colOff>
                <xdr:row>35</xdr:row>
                <xdr:rowOff>228600</xdr:rowOff>
              </to>
            </anchor>
          </controlPr>
        </control>
      </mc:Choice>
      <mc:Fallback>
        <control shapeId="1309" r:id="rId95" name="CheckBox17"/>
      </mc:Fallback>
    </mc:AlternateContent>
    <mc:AlternateContent xmlns:mc="http://schemas.openxmlformats.org/markup-compatibility/2006">
      <mc:Choice Requires="x14">
        <control shapeId="1310" r:id="rId97" name="CheckBox18">
          <controlPr defaultSize="0" autoFill="0" autoLine="0" r:id="rId98">
            <anchor moveWithCells="1">
              <from>
                <xdr:col>5</xdr:col>
                <xdr:colOff>0</xdr:colOff>
                <xdr:row>35</xdr:row>
                <xdr:rowOff>0</xdr:rowOff>
              </from>
              <to>
                <xdr:col>5</xdr:col>
                <xdr:colOff>504825</xdr:colOff>
                <xdr:row>35</xdr:row>
                <xdr:rowOff>228600</xdr:rowOff>
              </to>
            </anchor>
          </controlPr>
        </control>
      </mc:Choice>
      <mc:Fallback>
        <control shapeId="1310" r:id="rId97" name="CheckBox18"/>
      </mc:Fallback>
    </mc:AlternateContent>
    <mc:AlternateContent xmlns:mc="http://schemas.openxmlformats.org/markup-compatibility/2006">
      <mc:Choice Requires="x14">
        <control shapeId="1311" r:id="rId99" name="CheckBox19">
          <controlPr defaultSize="0" autoFill="0" autoLine="0" r:id="rId100">
            <anchor moveWithCells="1">
              <from>
                <xdr:col>6</xdr:col>
                <xdr:colOff>0</xdr:colOff>
                <xdr:row>35</xdr:row>
                <xdr:rowOff>0</xdr:rowOff>
              </from>
              <to>
                <xdr:col>6</xdr:col>
                <xdr:colOff>495300</xdr:colOff>
                <xdr:row>35</xdr:row>
                <xdr:rowOff>228600</xdr:rowOff>
              </to>
            </anchor>
          </controlPr>
        </control>
      </mc:Choice>
      <mc:Fallback>
        <control shapeId="1311" r:id="rId99" name="CheckBox19"/>
      </mc:Fallback>
    </mc:AlternateContent>
    <mc:AlternateContent xmlns:mc="http://schemas.openxmlformats.org/markup-compatibility/2006">
      <mc:Choice Requires="x14">
        <control shapeId="1312" r:id="rId101" name="CheckBox20">
          <controlPr defaultSize="0" autoFill="0" autoLine="0" r:id="rId102">
            <anchor moveWithCells="1">
              <from>
                <xdr:col>2</xdr:col>
                <xdr:colOff>0</xdr:colOff>
                <xdr:row>35</xdr:row>
                <xdr:rowOff>0</xdr:rowOff>
              </from>
              <to>
                <xdr:col>2</xdr:col>
                <xdr:colOff>495300</xdr:colOff>
                <xdr:row>35</xdr:row>
                <xdr:rowOff>228600</xdr:rowOff>
              </to>
            </anchor>
          </controlPr>
        </control>
      </mc:Choice>
      <mc:Fallback>
        <control shapeId="1312" r:id="rId101" name="CheckBox20"/>
      </mc:Fallback>
    </mc:AlternateContent>
    <mc:AlternateContent xmlns:mc="http://schemas.openxmlformats.org/markup-compatibility/2006">
      <mc:Choice Requires="x14">
        <control shapeId="1313" r:id="rId103" name="CheckBox21">
          <controlPr defaultSize="0" autoFill="0" autoLine="0" r:id="rId104">
            <anchor moveWithCells="1">
              <from>
                <xdr:col>3</xdr:col>
                <xdr:colOff>0</xdr:colOff>
                <xdr:row>35</xdr:row>
                <xdr:rowOff>0</xdr:rowOff>
              </from>
              <to>
                <xdr:col>3</xdr:col>
                <xdr:colOff>504825</xdr:colOff>
                <xdr:row>35</xdr:row>
                <xdr:rowOff>228600</xdr:rowOff>
              </to>
            </anchor>
          </controlPr>
        </control>
      </mc:Choice>
      <mc:Fallback>
        <control shapeId="1313" r:id="rId103" name="CheckBox21"/>
      </mc:Fallback>
    </mc:AlternateContent>
    <mc:AlternateContent xmlns:mc="http://schemas.openxmlformats.org/markup-compatibility/2006">
      <mc:Choice Requires="x14">
        <control shapeId="1314" r:id="rId105" name="CheckBox22">
          <controlPr defaultSize="0" autoFill="0" autoLine="0" r:id="rId106">
            <anchor moveWithCells="1">
              <from>
                <xdr:col>4</xdr:col>
                <xdr:colOff>0</xdr:colOff>
                <xdr:row>35</xdr:row>
                <xdr:rowOff>0</xdr:rowOff>
              </from>
              <to>
                <xdr:col>4</xdr:col>
                <xdr:colOff>504825</xdr:colOff>
                <xdr:row>35</xdr:row>
                <xdr:rowOff>228600</xdr:rowOff>
              </to>
            </anchor>
          </controlPr>
        </control>
      </mc:Choice>
      <mc:Fallback>
        <control shapeId="1314" r:id="rId105" name="CheckBox22"/>
      </mc:Fallback>
    </mc:AlternateContent>
    <mc:AlternateContent xmlns:mc="http://schemas.openxmlformats.org/markup-compatibility/2006">
      <mc:Choice Requires="x14">
        <control shapeId="1315" r:id="rId107" name="CheckBox23">
          <controlPr defaultSize="0" autoFill="0" autoLine="0" r:id="rId108">
            <anchor moveWithCells="1">
              <from>
                <xdr:col>5</xdr:col>
                <xdr:colOff>0</xdr:colOff>
                <xdr:row>35</xdr:row>
                <xdr:rowOff>0</xdr:rowOff>
              </from>
              <to>
                <xdr:col>5</xdr:col>
                <xdr:colOff>504825</xdr:colOff>
                <xdr:row>35</xdr:row>
                <xdr:rowOff>228600</xdr:rowOff>
              </to>
            </anchor>
          </controlPr>
        </control>
      </mc:Choice>
      <mc:Fallback>
        <control shapeId="1315" r:id="rId107" name="CheckBox23"/>
      </mc:Fallback>
    </mc:AlternateContent>
    <mc:AlternateContent xmlns:mc="http://schemas.openxmlformats.org/markup-compatibility/2006">
      <mc:Choice Requires="x14">
        <control shapeId="1316" r:id="rId109" name="CheckBox24">
          <controlPr defaultSize="0" autoFill="0" autoLine="0" r:id="rId110">
            <anchor moveWithCells="1">
              <from>
                <xdr:col>6</xdr:col>
                <xdr:colOff>0</xdr:colOff>
                <xdr:row>35</xdr:row>
                <xdr:rowOff>0</xdr:rowOff>
              </from>
              <to>
                <xdr:col>6</xdr:col>
                <xdr:colOff>495300</xdr:colOff>
                <xdr:row>35</xdr:row>
                <xdr:rowOff>228600</xdr:rowOff>
              </to>
            </anchor>
          </controlPr>
        </control>
      </mc:Choice>
      <mc:Fallback>
        <control shapeId="1316" r:id="rId109" name="CheckBox24"/>
      </mc:Fallback>
    </mc:AlternateContent>
    <mc:AlternateContent xmlns:mc="http://schemas.openxmlformats.org/markup-compatibility/2006">
      <mc:Choice Requires="x14">
        <control shapeId="1317" r:id="rId111" name="CheckBox25">
          <controlPr defaultSize="0" autoFill="0" autoLine="0" r:id="rId112">
            <anchor moveWithCells="1">
              <from>
                <xdr:col>2</xdr:col>
                <xdr:colOff>0</xdr:colOff>
                <xdr:row>35</xdr:row>
                <xdr:rowOff>0</xdr:rowOff>
              </from>
              <to>
                <xdr:col>2</xdr:col>
                <xdr:colOff>495300</xdr:colOff>
                <xdr:row>35</xdr:row>
                <xdr:rowOff>228600</xdr:rowOff>
              </to>
            </anchor>
          </controlPr>
        </control>
      </mc:Choice>
      <mc:Fallback>
        <control shapeId="1317" r:id="rId111" name="CheckBox25"/>
      </mc:Fallback>
    </mc:AlternateContent>
    <mc:AlternateContent xmlns:mc="http://schemas.openxmlformats.org/markup-compatibility/2006">
      <mc:Choice Requires="x14">
        <control shapeId="1318" r:id="rId113" name="CheckBox26">
          <controlPr defaultSize="0" autoFill="0" autoLine="0" r:id="rId114">
            <anchor moveWithCells="1">
              <from>
                <xdr:col>3</xdr:col>
                <xdr:colOff>0</xdr:colOff>
                <xdr:row>35</xdr:row>
                <xdr:rowOff>0</xdr:rowOff>
              </from>
              <to>
                <xdr:col>3</xdr:col>
                <xdr:colOff>504825</xdr:colOff>
                <xdr:row>35</xdr:row>
                <xdr:rowOff>228600</xdr:rowOff>
              </to>
            </anchor>
          </controlPr>
        </control>
      </mc:Choice>
      <mc:Fallback>
        <control shapeId="1318" r:id="rId113" name="CheckBox26"/>
      </mc:Fallback>
    </mc:AlternateContent>
    <mc:AlternateContent xmlns:mc="http://schemas.openxmlformats.org/markup-compatibility/2006">
      <mc:Choice Requires="x14">
        <control shapeId="1319" r:id="rId115" name="CheckBox27">
          <controlPr defaultSize="0" autoFill="0" autoLine="0" r:id="rId116">
            <anchor moveWithCells="1">
              <from>
                <xdr:col>4</xdr:col>
                <xdr:colOff>0</xdr:colOff>
                <xdr:row>35</xdr:row>
                <xdr:rowOff>0</xdr:rowOff>
              </from>
              <to>
                <xdr:col>4</xdr:col>
                <xdr:colOff>504825</xdr:colOff>
                <xdr:row>35</xdr:row>
                <xdr:rowOff>228600</xdr:rowOff>
              </to>
            </anchor>
          </controlPr>
        </control>
      </mc:Choice>
      <mc:Fallback>
        <control shapeId="1319" r:id="rId115" name="CheckBox27"/>
      </mc:Fallback>
    </mc:AlternateContent>
    <mc:AlternateContent xmlns:mc="http://schemas.openxmlformats.org/markup-compatibility/2006">
      <mc:Choice Requires="x14">
        <control shapeId="1320" r:id="rId117" name="CheckBox28">
          <controlPr defaultSize="0" autoFill="0" autoLine="0" r:id="rId118">
            <anchor moveWithCells="1">
              <from>
                <xdr:col>5</xdr:col>
                <xdr:colOff>0</xdr:colOff>
                <xdr:row>35</xdr:row>
                <xdr:rowOff>0</xdr:rowOff>
              </from>
              <to>
                <xdr:col>5</xdr:col>
                <xdr:colOff>504825</xdr:colOff>
                <xdr:row>35</xdr:row>
                <xdr:rowOff>228600</xdr:rowOff>
              </to>
            </anchor>
          </controlPr>
        </control>
      </mc:Choice>
      <mc:Fallback>
        <control shapeId="1320" r:id="rId117" name="CheckBox28"/>
      </mc:Fallback>
    </mc:AlternateContent>
    <mc:AlternateContent xmlns:mc="http://schemas.openxmlformats.org/markup-compatibility/2006">
      <mc:Choice Requires="x14">
        <control shapeId="1321" r:id="rId119" name="CheckBox29">
          <controlPr defaultSize="0" autoFill="0" autoLine="0" r:id="rId120">
            <anchor moveWithCells="1">
              <from>
                <xdr:col>6</xdr:col>
                <xdr:colOff>0</xdr:colOff>
                <xdr:row>35</xdr:row>
                <xdr:rowOff>0</xdr:rowOff>
              </from>
              <to>
                <xdr:col>6</xdr:col>
                <xdr:colOff>495300</xdr:colOff>
                <xdr:row>35</xdr:row>
                <xdr:rowOff>228600</xdr:rowOff>
              </to>
            </anchor>
          </controlPr>
        </control>
      </mc:Choice>
      <mc:Fallback>
        <control shapeId="1321" r:id="rId119" name="CheckBox29"/>
      </mc:Fallback>
    </mc:AlternateContent>
    <mc:AlternateContent xmlns:mc="http://schemas.openxmlformats.org/markup-compatibility/2006">
      <mc:Choice Requires="x14">
        <control shapeId="1329" r:id="rId121" name="ToggleButton2">
          <controlPr defaultSize="0" autoLine="0" r:id="rId122">
            <anchor moveWithCells="1">
              <from>
                <xdr:col>1</xdr:col>
                <xdr:colOff>0</xdr:colOff>
                <xdr:row>108</xdr:row>
                <xdr:rowOff>0</xdr:rowOff>
              </from>
              <to>
                <xdr:col>1</xdr:col>
                <xdr:colOff>866775</xdr:colOff>
                <xdr:row>126</xdr:row>
                <xdr:rowOff>9525</xdr:rowOff>
              </to>
            </anchor>
          </controlPr>
        </control>
      </mc:Choice>
      <mc:Fallback>
        <control shapeId="1329" r:id="rId121" name="ToggleButton2"/>
      </mc:Fallback>
    </mc:AlternateContent>
    <mc:AlternateContent xmlns:mc="http://schemas.openxmlformats.org/markup-compatibility/2006">
      <mc:Choice Requires="x14">
        <control shapeId="1330" r:id="rId123" name="ToggleButton3">
          <controlPr defaultSize="0" autoLine="0" r:id="rId124">
            <anchor moveWithCells="1">
              <from>
                <xdr:col>1</xdr:col>
                <xdr:colOff>0</xdr:colOff>
                <xdr:row>108</xdr:row>
                <xdr:rowOff>0</xdr:rowOff>
              </from>
              <to>
                <xdr:col>1</xdr:col>
                <xdr:colOff>857250</xdr:colOff>
                <xdr:row>126</xdr:row>
                <xdr:rowOff>9525</xdr:rowOff>
              </to>
            </anchor>
          </controlPr>
        </control>
      </mc:Choice>
      <mc:Fallback>
        <control shapeId="1330" r:id="rId123" name="ToggleButton3"/>
      </mc:Fallback>
    </mc:AlternateContent>
    <mc:AlternateContent xmlns:mc="http://schemas.openxmlformats.org/markup-compatibility/2006">
      <mc:Choice Requires="x14">
        <control shapeId="1331" r:id="rId125" name="ToggleButton4">
          <controlPr defaultSize="0" autoLine="0" r:id="rId126">
            <anchor moveWithCells="1">
              <from>
                <xdr:col>1</xdr:col>
                <xdr:colOff>0</xdr:colOff>
                <xdr:row>108</xdr:row>
                <xdr:rowOff>0</xdr:rowOff>
              </from>
              <to>
                <xdr:col>1</xdr:col>
                <xdr:colOff>857250</xdr:colOff>
                <xdr:row>126</xdr:row>
                <xdr:rowOff>9525</xdr:rowOff>
              </to>
            </anchor>
          </controlPr>
        </control>
      </mc:Choice>
      <mc:Fallback>
        <control shapeId="1331" r:id="rId125" name="ToggleButton4"/>
      </mc:Fallback>
    </mc:AlternateContent>
    <mc:AlternateContent xmlns:mc="http://schemas.openxmlformats.org/markup-compatibility/2006">
      <mc:Choice Requires="x14">
        <control shapeId="1334" r:id="rId127" name="ToggleButton5">
          <controlPr defaultSize="0" autoLine="0" r:id="rId128">
            <anchor moveWithCells="1">
              <from>
                <xdr:col>1</xdr:col>
                <xdr:colOff>0</xdr:colOff>
                <xdr:row>108</xdr:row>
                <xdr:rowOff>0</xdr:rowOff>
              </from>
              <to>
                <xdr:col>1</xdr:col>
                <xdr:colOff>866775</xdr:colOff>
                <xdr:row>126</xdr:row>
                <xdr:rowOff>28575</xdr:rowOff>
              </to>
            </anchor>
          </controlPr>
        </control>
      </mc:Choice>
      <mc:Fallback>
        <control shapeId="1334" r:id="rId127" name="ToggleButton5"/>
      </mc:Fallback>
    </mc:AlternateContent>
    <mc:AlternateContent xmlns:mc="http://schemas.openxmlformats.org/markup-compatibility/2006">
      <mc:Choice Requires="x14">
        <control shapeId="1335" r:id="rId129" name="ToggleButton6">
          <controlPr defaultSize="0" autoLine="0" r:id="rId130">
            <anchor moveWithCells="1">
              <from>
                <xdr:col>1</xdr:col>
                <xdr:colOff>0</xdr:colOff>
                <xdr:row>108</xdr:row>
                <xdr:rowOff>0</xdr:rowOff>
              </from>
              <to>
                <xdr:col>1</xdr:col>
                <xdr:colOff>866775</xdr:colOff>
                <xdr:row>126</xdr:row>
                <xdr:rowOff>28575</xdr:rowOff>
              </to>
            </anchor>
          </controlPr>
        </control>
      </mc:Choice>
      <mc:Fallback>
        <control shapeId="1335" r:id="rId129" name="ToggleButton6"/>
      </mc:Fallback>
    </mc:AlternateContent>
    <mc:AlternateContent xmlns:mc="http://schemas.openxmlformats.org/markup-compatibility/2006">
      <mc:Choice Requires="x14">
        <control shapeId="1336" r:id="rId131" name="ToggleButton7">
          <controlPr defaultSize="0" autoLine="0" r:id="rId132">
            <anchor moveWithCells="1">
              <from>
                <xdr:col>1</xdr:col>
                <xdr:colOff>0</xdr:colOff>
                <xdr:row>108</xdr:row>
                <xdr:rowOff>0</xdr:rowOff>
              </from>
              <to>
                <xdr:col>1</xdr:col>
                <xdr:colOff>866775</xdr:colOff>
                <xdr:row>126</xdr:row>
                <xdr:rowOff>28575</xdr:rowOff>
              </to>
            </anchor>
          </controlPr>
        </control>
      </mc:Choice>
      <mc:Fallback>
        <control shapeId="1336" r:id="rId131" name="ToggleButton7"/>
      </mc:Fallback>
    </mc:AlternateContent>
    <mc:AlternateContent xmlns:mc="http://schemas.openxmlformats.org/markup-compatibility/2006">
      <mc:Choice Requires="x14">
        <control shapeId="1337" r:id="rId133" name="ToggleButton8">
          <controlPr defaultSize="0" autoLine="0" r:id="rId134">
            <anchor moveWithCells="1">
              <from>
                <xdr:col>1</xdr:col>
                <xdr:colOff>0</xdr:colOff>
                <xdr:row>108</xdr:row>
                <xdr:rowOff>0</xdr:rowOff>
              </from>
              <to>
                <xdr:col>1</xdr:col>
                <xdr:colOff>866775</xdr:colOff>
                <xdr:row>126</xdr:row>
                <xdr:rowOff>28575</xdr:rowOff>
              </to>
            </anchor>
          </controlPr>
        </control>
      </mc:Choice>
      <mc:Fallback>
        <control shapeId="1337" r:id="rId133" name="ToggleButton8"/>
      </mc:Fallback>
    </mc:AlternateContent>
    <mc:AlternateContent xmlns:mc="http://schemas.openxmlformats.org/markup-compatibility/2006">
      <mc:Choice Requires="x14">
        <control shapeId="1338" r:id="rId135" name="ToggleButton9">
          <controlPr defaultSize="0" autoLine="0" r:id="rId136">
            <anchor moveWithCells="1">
              <from>
                <xdr:col>1</xdr:col>
                <xdr:colOff>0</xdr:colOff>
                <xdr:row>108</xdr:row>
                <xdr:rowOff>0</xdr:rowOff>
              </from>
              <to>
                <xdr:col>1</xdr:col>
                <xdr:colOff>866775</xdr:colOff>
                <xdr:row>126</xdr:row>
                <xdr:rowOff>28575</xdr:rowOff>
              </to>
            </anchor>
          </controlPr>
        </control>
      </mc:Choice>
      <mc:Fallback>
        <control shapeId="1338" r:id="rId135" name="ToggleButton9"/>
      </mc:Fallback>
    </mc:AlternateContent>
    <mc:AlternateContent xmlns:mc="http://schemas.openxmlformats.org/markup-compatibility/2006">
      <mc:Choice Requires="x14">
        <control shapeId="1339" r:id="rId137" name="ToggleButton10">
          <controlPr defaultSize="0" autoLine="0" r:id="rId138">
            <anchor moveWithCells="1">
              <from>
                <xdr:col>1</xdr:col>
                <xdr:colOff>0</xdr:colOff>
                <xdr:row>108</xdr:row>
                <xdr:rowOff>0</xdr:rowOff>
              </from>
              <to>
                <xdr:col>1</xdr:col>
                <xdr:colOff>866775</xdr:colOff>
                <xdr:row>126</xdr:row>
                <xdr:rowOff>28575</xdr:rowOff>
              </to>
            </anchor>
          </controlPr>
        </control>
      </mc:Choice>
      <mc:Fallback>
        <control shapeId="1339" r:id="rId137" name="ToggleButton10"/>
      </mc:Fallback>
    </mc:AlternateContent>
    <mc:AlternateContent xmlns:mc="http://schemas.openxmlformats.org/markup-compatibility/2006">
      <mc:Choice Requires="x14">
        <control shapeId="1340" r:id="rId139" name="ToggleButton11">
          <controlPr defaultSize="0" autoLine="0" r:id="rId140">
            <anchor moveWithCells="1">
              <from>
                <xdr:col>1</xdr:col>
                <xdr:colOff>0</xdr:colOff>
                <xdr:row>108</xdr:row>
                <xdr:rowOff>0</xdr:rowOff>
              </from>
              <to>
                <xdr:col>1</xdr:col>
                <xdr:colOff>866775</xdr:colOff>
                <xdr:row>126</xdr:row>
                <xdr:rowOff>28575</xdr:rowOff>
              </to>
            </anchor>
          </controlPr>
        </control>
      </mc:Choice>
      <mc:Fallback>
        <control shapeId="1340" r:id="rId139" name="ToggleButton11"/>
      </mc:Fallback>
    </mc:AlternateContent>
    <mc:AlternateContent xmlns:mc="http://schemas.openxmlformats.org/markup-compatibility/2006">
      <mc:Choice Requires="x14">
        <control shapeId="1341" r:id="rId141" name="ToggleButton12">
          <controlPr defaultSize="0" autoLine="0" r:id="rId142">
            <anchor moveWithCells="1">
              <from>
                <xdr:col>1</xdr:col>
                <xdr:colOff>0</xdr:colOff>
                <xdr:row>108</xdr:row>
                <xdr:rowOff>0</xdr:rowOff>
              </from>
              <to>
                <xdr:col>1</xdr:col>
                <xdr:colOff>866775</xdr:colOff>
                <xdr:row>126</xdr:row>
                <xdr:rowOff>28575</xdr:rowOff>
              </to>
            </anchor>
          </controlPr>
        </control>
      </mc:Choice>
      <mc:Fallback>
        <control shapeId="1341" r:id="rId141" name="ToggleButton12"/>
      </mc:Fallback>
    </mc:AlternateContent>
    <mc:AlternateContent xmlns:mc="http://schemas.openxmlformats.org/markup-compatibility/2006">
      <mc:Choice Requires="x14">
        <control shapeId="1342" r:id="rId143" name="ToggleButton13">
          <controlPr defaultSize="0" autoLine="0" r:id="rId144">
            <anchor moveWithCells="1">
              <from>
                <xdr:col>1</xdr:col>
                <xdr:colOff>0</xdr:colOff>
                <xdr:row>108</xdr:row>
                <xdr:rowOff>0</xdr:rowOff>
              </from>
              <to>
                <xdr:col>1</xdr:col>
                <xdr:colOff>866775</xdr:colOff>
                <xdr:row>126</xdr:row>
                <xdr:rowOff>28575</xdr:rowOff>
              </to>
            </anchor>
          </controlPr>
        </control>
      </mc:Choice>
      <mc:Fallback>
        <control shapeId="1342" r:id="rId143" name="ToggleButton13"/>
      </mc:Fallback>
    </mc:AlternateContent>
  </controls>
  <extLst>
    <ext xmlns:x14="http://schemas.microsoft.com/office/spreadsheetml/2009/9/main" uri="{CCE6A557-97BC-4b89-ADB6-D9C93CAAB3DF}">
      <x14:dataValidations xmlns:xm="http://schemas.microsoft.com/office/excel/2006/main" xWindow="657" yWindow="595" count="16">
        <x14:dataValidation type="list" allowBlank="1" showInputMessage="1" showErrorMessage="1" xr:uid="{ED0D7387-8E9A-463A-ADC9-74AFCA35FA08}">
          <x14:formula1>
            <xm:f>Hilfstabelle!$A$142:$A$145</xm:f>
          </x14:formula1>
          <xm:sqref>C56:C58 C38:C40 C74:C76 C92:C94</xm:sqref>
        </x14:dataValidation>
        <x14:dataValidation type="list" allowBlank="1" showInputMessage="1" showErrorMessage="1" xr:uid="{FA68F47B-DCE3-42F5-89C0-B8F50A7F7947}">
          <x14:formula1>
            <xm:f>Hilfstabelle!$A$28:$A$34</xm:f>
          </x14:formula1>
          <xm:sqref>C42 C60 C78 C96</xm:sqref>
        </x14:dataValidation>
        <x14:dataValidation type="list" allowBlank="1" showInputMessage="1" showErrorMessage="1" xr:uid="{82ECFA57-6A7F-40B9-8FFB-4056534C8E27}">
          <x14:formula1>
            <xm:f>Hilfstabelle!$A$13:$A$20</xm:f>
          </x14:formula1>
          <xm:sqref>C44 C80 C62 C98</xm:sqref>
        </x14:dataValidation>
        <x14:dataValidation type="list" allowBlank="1" showInputMessage="1" showErrorMessage="1" xr:uid="{EFDBE008-E19F-43FC-94EB-0373DA3D75F1}">
          <x14:formula1>
            <xm:f>Hilfstabelle!$A$22:$A$26</xm:f>
          </x14:formula1>
          <xm:sqref>C46 C82 C64 C100</xm:sqref>
        </x14:dataValidation>
        <x14:dataValidation type="list" allowBlank="1" showInputMessage="1" showErrorMessage="1" xr:uid="{77DA910B-B208-45D9-A139-6FD25DDAE69A}">
          <x14:formula1>
            <xm:f>IF($C$93=Hilfstabelle!$A$143,Hilfstabelle!$A$118:$A$141,IF($C$93=Hilfstabelle!$A$144,Hilfstabelle!$A$46:$A$79,IF($C$93=Hilfstabelle!$A$145,Hilfstabelle!$A$80:$A$117,"")))</xm:f>
          </x14:formula1>
          <xm:sqref>D93</xm:sqref>
        </x14:dataValidation>
        <x14:dataValidation type="list" allowBlank="1" showInputMessage="1" showErrorMessage="1" xr:uid="{852C14CA-043C-489B-A5F5-F1D37180B532}">
          <x14:formula1>
            <xm:f>IF($C$92=Hilfstabelle!$A$143,Hilfstabelle!$A$118:$A$141,IF($C$92=Hilfstabelle!$A$144,Hilfstabelle!$A$46:$A$79,IF($C$92=Hilfstabelle!$A$145,Hilfstabelle!$A$80:$A$117,"")))</xm:f>
          </x14:formula1>
          <xm:sqref>D92</xm:sqref>
        </x14:dataValidation>
        <x14:dataValidation type="list" allowBlank="1" showInputMessage="1" showErrorMessage="1" xr:uid="{068AF781-8EA8-4DCB-8AA1-8D77C7D112E0}">
          <x14:formula1>
            <xm:f>IF($C$94=Hilfstabelle!$A$143,Hilfstabelle!$A$118:$A$141,IF($C$94=Hilfstabelle!$A$144,Hilfstabelle!$A$46:$A$79,IF($C$94=Hilfstabelle!$A$145,Hilfstabelle!$A$80:$A$117,"")))</xm:f>
          </x14:formula1>
          <xm:sqref>D94</xm:sqref>
        </x14:dataValidation>
        <x14:dataValidation type="list" allowBlank="1" showInputMessage="1" showErrorMessage="1" xr:uid="{D1FC33D7-DDDB-45FA-8F66-612E0100D507}">
          <x14:formula1>
            <xm:f>IF($C$39=Hilfstabelle!$A$143,Hilfstabelle!$A$118:$A$141,IF($C$39=Hilfstabelle!$A$144,Hilfstabelle!$A$46:$A$79,IF($C$39=Hilfstabelle!$A$145,Hilfstabelle!$A$80:$A$117,"")))</xm:f>
          </x14:formula1>
          <xm:sqref>D39</xm:sqref>
        </x14:dataValidation>
        <x14:dataValidation type="list" allowBlank="1" showInputMessage="1" showErrorMessage="1" xr:uid="{2705718D-7D76-49AD-B290-04D3A7D206C9}">
          <x14:formula1>
            <xm:f>IF($C$38=Hilfstabelle!$A$143,Hilfstabelle!$A$118:$A$141,IF($C$38=Hilfstabelle!$A$144,Hilfstabelle!$A$46:$A$79,IF($C$38=Hilfstabelle!$A$145,Hilfstabelle!$A$80:$A$117,"")))</xm:f>
          </x14:formula1>
          <xm:sqref>D38</xm:sqref>
        </x14:dataValidation>
        <x14:dataValidation type="list" allowBlank="1" showInputMessage="1" showErrorMessage="1" xr:uid="{1972CBDB-D8AB-4F56-A9C5-F64FEBB81807}">
          <x14:formula1>
            <xm:f>IF($C$40=Hilfstabelle!$A$143,Hilfstabelle!$A$118:$A$141,IF($C$40=Hilfstabelle!$A$144,Hilfstabelle!$A$46:$A$79,IF($C$40=Hilfstabelle!$A$145,Hilfstabelle!$A$80:$A$117,"")))</xm:f>
          </x14:formula1>
          <xm:sqref>D40</xm:sqref>
        </x14:dataValidation>
        <x14:dataValidation type="list" allowBlank="1" showInputMessage="1" showErrorMessage="1" xr:uid="{77069CD2-E8A0-4683-B334-01E915DD88A7}">
          <x14:formula1>
            <xm:f>IF($C$56=Hilfstabelle!$A$143,Hilfstabelle!$A$118:$A$141,IF($C$56=Hilfstabelle!$A$144,Hilfstabelle!$A$46:$A$79,IF($C$56=Hilfstabelle!$A$145,Hilfstabelle!$A$80:$A$117,"")))</xm:f>
          </x14:formula1>
          <xm:sqref>D56</xm:sqref>
        </x14:dataValidation>
        <x14:dataValidation type="list" allowBlank="1" showInputMessage="1" showErrorMessage="1" xr:uid="{008B1EEA-818E-4681-8104-11FD6A083474}">
          <x14:formula1>
            <xm:f>IF($C$57=Hilfstabelle!$A$143,Hilfstabelle!$A$118:$A$141,IF($C$57=Hilfstabelle!$A$144,Hilfstabelle!$A$46:$A$79,IF($C$57=Hilfstabelle!$A$145,Hilfstabelle!$A$80:$A$117,"")))</xm:f>
          </x14:formula1>
          <xm:sqref>D57</xm:sqref>
        </x14:dataValidation>
        <x14:dataValidation type="list" allowBlank="1" showInputMessage="1" showErrorMessage="1" xr:uid="{A07354DE-227C-46DA-B4BF-10842016783F}">
          <x14:formula1>
            <xm:f>IF($C$58=Hilfstabelle!$A$143,Hilfstabelle!$A$118:$A$141,IF($C$58=Hilfstabelle!$A$144,Hilfstabelle!$A$46:$A$79,IF($C$58=Hilfstabelle!$A$145,Hilfstabelle!$A$80:$A$117,"")))</xm:f>
          </x14:formula1>
          <xm:sqref>D58</xm:sqref>
        </x14:dataValidation>
        <x14:dataValidation type="list" allowBlank="1" showInputMessage="1" showErrorMessage="1" xr:uid="{742DA2E1-F511-4FD4-AD4F-71D5CE4C310B}">
          <x14:formula1>
            <xm:f>IF($C$74=Hilfstabelle!$A$143,Hilfstabelle!$A$118:$A$141,IF($C$74=Hilfstabelle!$A$144,Hilfstabelle!$A$46:$A$79,IF($C$74=Hilfstabelle!$A$145,Hilfstabelle!$A$80:$A$117,"")))</xm:f>
          </x14:formula1>
          <xm:sqref>D74</xm:sqref>
        </x14:dataValidation>
        <x14:dataValidation type="list" allowBlank="1" showInputMessage="1" showErrorMessage="1" xr:uid="{E9DE86F7-2188-41B7-B405-FA301838ECB3}">
          <x14:formula1>
            <xm:f>IF($C$75=Hilfstabelle!$A$143,Hilfstabelle!$A$118:$A$141,IF($C$75=Hilfstabelle!$A$144,Hilfstabelle!$A$46:$A$79,IF($C$75=Hilfstabelle!$A$145,Hilfstabelle!$A$80:$A$117,"")))</xm:f>
          </x14:formula1>
          <xm:sqref>D75</xm:sqref>
        </x14:dataValidation>
        <x14:dataValidation type="list" allowBlank="1" showInputMessage="1" showErrorMessage="1" xr:uid="{FE23A747-22CD-4779-9850-A58E5CB43944}">
          <x14:formula1>
            <xm:f>IF($C$76=Hilfstabelle!$A$143,Hilfstabelle!$A$118:$A$141,IF($C$76=Hilfstabelle!$A$144,Hilfstabelle!$A$46:$A$79,IF($C$76=Hilfstabelle!$A$145,Hilfstabelle!$A$80:$A$117,"")))</xm:f>
          </x14:formula1>
          <xm:sqref>D76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27BF8-23E3-4212-ADFF-E5C88BE462E8}">
  <sheetPr codeName="Tabelle3"/>
  <dimension ref="A1"/>
  <sheetViews>
    <sheetView workbookViewId="0"/>
  </sheetViews>
  <sheetFormatPr baseColWidth="10" defaultRowHeight="15" x14ac:dyDescent="0.2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H151"/>
  <sheetViews>
    <sheetView topLeftCell="A33" workbookViewId="0">
      <selection activeCell="A49" sqref="A49"/>
    </sheetView>
  </sheetViews>
  <sheetFormatPr baseColWidth="10" defaultRowHeight="15" x14ac:dyDescent="0.25"/>
  <cols>
    <col min="1" max="1" width="84.42578125" bestFit="1" customWidth="1"/>
    <col min="5" max="5" width="13.28515625" customWidth="1"/>
    <col min="6" max="6" width="12.140625" customWidth="1"/>
    <col min="7" max="7" width="14.28515625" customWidth="1"/>
    <col min="8" max="8" width="13.28515625" customWidth="1"/>
    <col min="9" max="9" width="7.5703125" customWidth="1"/>
  </cols>
  <sheetData>
    <row r="1" spans="1:8" hidden="1" x14ac:dyDescent="0.25"/>
    <row r="2" spans="1:8" hidden="1" x14ac:dyDescent="0.25">
      <c r="A2" s="1"/>
      <c r="B2" s="2"/>
    </row>
    <row r="3" spans="1:8" hidden="1" x14ac:dyDescent="0.25">
      <c r="B3" s="2"/>
    </row>
    <row r="4" spans="1:8" hidden="1" x14ac:dyDescent="0.25">
      <c r="B4" s="2"/>
    </row>
    <row r="5" spans="1:8" hidden="1" x14ac:dyDescent="0.25">
      <c r="B5" s="2"/>
    </row>
    <row r="6" spans="1:8" hidden="1" x14ac:dyDescent="0.25">
      <c r="B6" s="2"/>
    </row>
    <row r="7" spans="1:8" x14ac:dyDescent="0.25">
      <c r="B7" s="2"/>
      <c r="E7" s="9"/>
      <c r="F7" s="9"/>
      <c r="G7" s="9"/>
    </row>
    <row r="8" spans="1:8" x14ac:dyDescent="0.25">
      <c r="A8" s="1" t="s">
        <v>17</v>
      </c>
      <c r="B8" s="7"/>
      <c r="C8" s="7"/>
      <c r="E8" s="9"/>
    </row>
    <row r="9" spans="1:8" x14ac:dyDescent="0.25">
      <c r="A9" t="s">
        <v>49</v>
      </c>
      <c r="B9" s="7"/>
      <c r="C9" s="7"/>
      <c r="E9" s="9"/>
    </row>
    <row r="10" spans="1:8" x14ac:dyDescent="0.25">
      <c r="A10" t="s">
        <v>50</v>
      </c>
      <c r="B10" s="8"/>
      <c r="C10" s="7"/>
      <c r="E10" s="9"/>
    </row>
    <row r="11" spans="1:8" x14ac:dyDescent="0.25">
      <c r="A11" t="s">
        <v>51</v>
      </c>
      <c r="B11" s="8"/>
      <c r="C11" s="7"/>
      <c r="E11" s="9"/>
      <c r="F11" s="9"/>
    </row>
    <row r="12" spans="1:8" x14ac:dyDescent="0.25">
      <c r="A12" s="1"/>
      <c r="B12" s="8"/>
      <c r="C12" s="8"/>
      <c r="E12" s="9"/>
      <c r="F12" s="9"/>
      <c r="G12" s="9"/>
    </row>
    <row r="13" spans="1:8" ht="30" x14ac:dyDescent="0.25">
      <c r="A13" s="6" t="s">
        <v>146</v>
      </c>
      <c r="B13" s="3"/>
      <c r="E13" s="9"/>
      <c r="F13" s="9"/>
      <c r="G13" s="9"/>
    </row>
    <row r="14" spans="1:8" ht="15.75" customHeight="1" x14ac:dyDescent="0.25">
      <c r="A14" s="6" t="s">
        <v>137</v>
      </c>
      <c r="B14" s="4">
        <v>0</v>
      </c>
      <c r="C14" s="109">
        <f>WU!F6-WU!D6+1</f>
        <v>306</v>
      </c>
      <c r="E14" s="9">
        <f>WU!G44</f>
        <v>0</v>
      </c>
      <c r="F14" s="9">
        <f>WU!$G$62</f>
        <v>0</v>
      </c>
      <c r="G14" s="9">
        <f>WU!$G$80</f>
        <v>0</v>
      </c>
      <c r="H14" s="9">
        <f>WU!$G$98</f>
        <v>0</v>
      </c>
    </row>
    <row r="15" spans="1:8" x14ac:dyDescent="0.25">
      <c r="A15" s="6" t="s">
        <v>138</v>
      </c>
      <c r="B15" s="108">
        <v>0</v>
      </c>
      <c r="C15" s="109">
        <f>WU!F6-WU!D6+1</f>
        <v>306</v>
      </c>
      <c r="E15" s="9">
        <f>WU!G44</f>
        <v>0</v>
      </c>
      <c r="F15" s="9">
        <f>WU!$G$62</f>
        <v>0</v>
      </c>
      <c r="G15" s="9">
        <f>WU!$G$80</f>
        <v>0</v>
      </c>
      <c r="H15" s="9">
        <f>WU!$G$98</f>
        <v>0</v>
      </c>
    </row>
    <row r="16" spans="1:8" x14ac:dyDescent="0.25">
      <c r="A16" s="6" t="s">
        <v>139</v>
      </c>
      <c r="B16" s="108">
        <v>0</v>
      </c>
      <c r="C16" s="109">
        <f>WU!F6-WU!D6+1</f>
        <v>306</v>
      </c>
      <c r="E16" s="9">
        <f>WU!G44</f>
        <v>0</v>
      </c>
      <c r="F16" s="9">
        <f>WU!$G$62</f>
        <v>0</v>
      </c>
      <c r="G16" s="9">
        <f>WU!$G$80</f>
        <v>0</v>
      </c>
      <c r="H16" s="9">
        <f>WU!$G$98</f>
        <v>0</v>
      </c>
    </row>
    <row r="17" spans="1:8" x14ac:dyDescent="0.25">
      <c r="A17" t="s">
        <v>18</v>
      </c>
      <c r="B17" s="108">
        <v>0</v>
      </c>
      <c r="C17" s="109">
        <f>WU!F6-WU!D6+1</f>
        <v>306</v>
      </c>
      <c r="E17" s="9">
        <f>WU!G44</f>
        <v>0</v>
      </c>
      <c r="F17" s="9">
        <f>WU!$G$62</f>
        <v>0</v>
      </c>
      <c r="G17" s="9">
        <f>WU!$G$80</f>
        <v>0</v>
      </c>
      <c r="H17" s="9">
        <f>WU!$G$98</f>
        <v>0</v>
      </c>
    </row>
    <row r="18" spans="1:8" x14ac:dyDescent="0.25">
      <c r="A18" t="s">
        <v>140</v>
      </c>
      <c r="B18" s="4">
        <f>WU!B12</f>
        <v>0</v>
      </c>
      <c r="C18" s="109">
        <v>0</v>
      </c>
      <c r="E18" s="9">
        <f>WU!G44</f>
        <v>0</v>
      </c>
      <c r="F18" s="9">
        <f>WU!$G$62</f>
        <v>0</v>
      </c>
      <c r="G18" s="9">
        <f>WU!$G$80</f>
        <v>0</v>
      </c>
      <c r="H18" s="9">
        <f>WU!$G$98</f>
        <v>0</v>
      </c>
    </row>
    <row r="19" spans="1:8" x14ac:dyDescent="0.25">
      <c r="A19" t="s">
        <v>19</v>
      </c>
      <c r="B19" s="108">
        <f>WU!B12</f>
        <v>0</v>
      </c>
      <c r="C19" s="109">
        <v>0</v>
      </c>
      <c r="E19" s="9">
        <f>WU!G44</f>
        <v>0</v>
      </c>
      <c r="F19" s="9">
        <f>WU!$G$62</f>
        <v>0</v>
      </c>
      <c r="G19" s="9">
        <f>WU!$G$80</f>
        <v>0</v>
      </c>
      <c r="H19" s="9">
        <f>WU!$G$98</f>
        <v>0</v>
      </c>
    </row>
    <row r="20" spans="1:8" x14ac:dyDescent="0.25">
      <c r="A20" t="s">
        <v>8</v>
      </c>
      <c r="B20" s="4">
        <v>0</v>
      </c>
      <c r="C20" s="109">
        <v>0</v>
      </c>
      <c r="E20" s="9">
        <f>IF(WU!G45="",0,IF(WU!G45&gt;0,WU!G45*-1,WU!G45))</f>
        <v>0</v>
      </c>
      <c r="F20" s="9">
        <f>IF(WU!G63="",0,IF(WU!G63&gt;0,WU!G63*-1,WU!G63))</f>
        <v>0</v>
      </c>
      <c r="G20" s="9">
        <f>IF(WU!G81="",0,IF(WU!G81&gt;0,WU!G81*-1,WU!G81))</f>
        <v>0</v>
      </c>
      <c r="H20" s="9">
        <f>IF(WU!G99="",0,IF(WU!G99&gt;0,WU!G99*-1,WU!G99))</f>
        <v>0</v>
      </c>
    </row>
    <row r="21" spans="1:8" x14ac:dyDescent="0.25">
      <c r="B21" s="5"/>
      <c r="E21" s="9"/>
      <c r="F21" s="9"/>
      <c r="G21" s="9"/>
    </row>
    <row r="22" spans="1:8" ht="30" x14ac:dyDescent="0.25">
      <c r="A22" s="6" t="s">
        <v>147</v>
      </c>
      <c r="C22" s="109"/>
      <c r="E22" s="9"/>
      <c r="F22" s="9"/>
      <c r="G22" s="9"/>
      <c r="H22" s="9"/>
    </row>
    <row r="23" spans="1:8" x14ac:dyDescent="0.25">
      <c r="A23" s="6" t="s">
        <v>53</v>
      </c>
      <c r="B23">
        <f>WU!B12</f>
        <v>0</v>
      </c>
      <c r="C23">
        <f>WU!F6-WU!D6</f>
        <v>305</v>
      </c>
      <c r="E23" s="9">
        <f>WU!G46</f>
        <v>0</v>
      </c>
      <c r="F23" s="9">
        <f>WU!$G$64</f>
        <v>0</v>
      </c>
      <c r="G23" s="9">
        <f>WU!$G$82</f>
        <v>0</v>
      </c>
      <c r="H23" s="9">
        <f>WU!$G$100</f>
        <v>0</v>
      </c>
    </row>
    <row r="24" spans="1:8" x14ac:dyDescent="0.25">
      <c r="A24" t="s">
        <v>54</v>
      </c>
      <c r="B24">
        <f>WU!B12</f>
        <v>0</v>
      </c>
      <c r="C24">
        <f>WU!F6-WU!D6</f>
        <v>305</v>
      </c>
      <c r="E24" s="9">
        <f>WU!G46</f>
        <v>0</v>
      </c>
      <c r="F24" s="9">
        <f>WU!$G$64</f>
        <v>0</v>
      </c>
      <c r="G24" s="9">
        <f>WU!$G$82</f>
        <v>0</v>
      </c>
      <c r="H24" s="9">
        <f>WU!$G$100</f>
        <v>0</v>
      </c>
    </row>
    <row r="25" spans="1:8" x14ac:dyDescent="0.25">
      <c r="A25" t="s">
        <v>55</v>
      </c>
      <c r="B25">
        <f>WU!B12</f>
        <v>0</v>
      </c>
      <c r="C25">
        <f>WU!F6-WU!D6</f>
        <v>305</v>
      </c>
      <c r="E25" s="9">
        <f>WU!G46</f>
        <v>0</v>
      </c>
      <c r="F25" s="9">
        <f>WU!$G$64</f>
        <v>0</v>
      </c>
      <c r="G25" s="9">
        <f>WU!$G$82</f>
        <v>0</v>
      </c>
      <c r="H25" s="9">
        <f>WU!$G$100</f>
        <v>0</v>
      </c>
    </row>
    <row r="26" spans="1:8" x14ac:dyDescent="0.25">
      <c r="A26" t="s">
        <v>8</v>
      </c>
      <c r="B26">
        <v>0</v>
      </c>
      <c r="C26">
        <v>0</v>
      </c>
      <c r="E26" s="9">
        <f>IF(WU!G47="",0,IF(WU!G47&gt;0,WU!G47*-1,WU!G47))</f>
        <v>0</v>
      </c>
      <c r="F26" s="9">
        <f>IF(WU!G65="",0,IF(WU!G65&gt;0,WU!G65*-1,WU!G65))</f>
        <v>0</v>
      </c>
      <c r="G26" s="9">
        <f>IF(WU!G83="",0,IF(WU!G83&gt;0,WU!G83*-1,WU!G83))</f>
        <v>0</v>
      </c>
      <c r="H26" s="9">
        <f>IF(WU!G101="",0,IF(WU!G101&gt;0,WU!G101*-1,WU!G101))</f>
        <v>0</v>
      </c>
    </row>
    <row r="27" spans="1:8" x14ac:dyDescent="0.25">
      <c r="E27" s="9"/>
      <c r="F27" s="9"/>
      <c r="G27" s="9"/>
    </row>
    <row r="28" spans="1:8" ht="30" x14ac:dyDescent="0.25">
      <c r="A28" s="6" t="s">
        <v>148</v>
      </c>
      <c r="E28" s="9"/>
      <c r="F28" s="9"/>
      <c r="G28" s="9"/>
      <c r="H28" s="9"/>
    </row>
    <row r="29" spans="1:8" x14ac:dyDescent="0.25">
      <c r="A29" t="s">
        <v>21</v>
      </c>
      <c r="B29">
        <v>28</v>
      </c>
      <c r="C29">
        <f>WU!B12</f>
        <v>0</v>
      </c>
      <c r="D29">
        <f>WU!F6-WU!D6+1</f>
        <v>306</v>
      </c>
      <c r="E29">
        <f>WU!G42</f>
        <v>0</v>
      </c>
      <c r="F29">
        <f>WU!$G$60</f>
        <v>0</v>
      </c>
      <c r="G29">
        <f>WU!$G$78</f>
        <v>0</v>
      </c>
      <c r="H29">
        <f>WU!$G$96</f>
        <v>0</v>
      </c>
    </row>
    <row r="30" spans="1:8" x14ac:dyDescent="0.25">
      <c r="A30" t="s">
        <v>20</v>
      </c>
      <c r="B30">
        <v>14</v>
      </c>
      <c r="C30">
        <f>WU!B12</f>
        <v>0</v>
      </c>
      <c r="D30">
        <f>WU!F6-WU!D6+1</f>
        <v>306</v>
      </c>
      <c r="E30">
        <f>WU!G42</f>
        <v>0</v>
      </c>
      <c r="F30">
        <f>WU!$G$60</f>
        <v>0</v>
      </c>
      <c r="G30">
        <f>WU!$G$78</f>
        <v>0</v>
      </c>
      <c r="H30">
        <f>WU!$G$96</f>
        <v>0</v>
      </c>
    </row>
    <row r="31" spans="1:8" x14ac:dyDescent="0.25">
      <c r="A31" t="s">
        <v>22</v>
      </c>
      <c r="B31">
        <v>22.4</v>
      </c>
      <c r="C31">
        <f>WU!$B$12</f>
        <v>0</v>
      </c>
      <c r="D31">
        <f>WU!$F$6-WU!$D$6+1</f>
        <v>306</v>
      </c>
      <c r="E31">
        <f>WU!$G$42</f>
        <v>0</v>
      </c>
      <c r="F31">
        <f>WU!$G$60</f>
        <v>0</v>
      </c>
      <c r="G31">
        <f>WU!$G$78</f>
        <v>0</v>
      </c>
      <c r="H31">
        <f>WU!$G$96</f>
        <v>0</v>
      </c>
    </row>
    <row r="32" spans="1:8" x14ac:dyDescent="0.25">
      <c r="A32" t="s">
        <v>197</v>
      </c>
      <c r="B32">
        <v>16.8</v>
      </c>
      <c r="C32">
        <f>WU!$B$12</f>
        <v>0</v>
      </c>
      <c r="D32">
        <f>WU!$F$6-WU!$D$6+1</f>
        <v>306</v>
      </c>
      <c r="E32">
        <f>WU!$G$42</f>
        <v>0</v>
      </c>
      <c r="F32">
        <f>WU!$G$60</f>
        <v>0</v>
      </c>
      <c r="G32">
        <f>WU!$G$78</f>
        <v>0</v>
      </c>
      <c r="H32">
        <f>WU!$G$96</f>
        <v>0</v>
      </c>
    </row>
    <row r="33" spans="1:8" x14ac:dyDescent="0.25">
      <c r="A33" t="s">
        <v>28</v>
      </c>
      <c r="B33">
        <v>16.8</v>
      </c>
      <c r="C33">
        <f>WU!B12</f>
        <v>0</v>
      </c>
      <c r="D33">
        <f>WU!F6-WU!D6+1</f>
        <v>306</v>
      </c>
      <c r="E33">
        <f>WU!G42</f>
        <v>0</v>
      </c>
      <c r="F33">
        <f>WU!$G$60</f>
        <v>0</v>
      </c>
      <c r="G33">
        <f>WU!$G$78</f>
        <v>0</v>
      </c>
      <c r="H33">
        <f>WU!$G$96</f>
        <v>0</v>
      </c>
    </row>
    <row r="34" spans="1:8" x14ac:dyDescent="0.25">
      <c r="A34" t="s">
        <v>8</v>
      </c>
      <c r="B34">
        <v>0</v>
      </c>
      <c r="C34">
        <v>0</v>
      </c>
      <c r="D34">
        <v>0</v>
      </c>
      <c r="E34">
        <f>IF(WU!G43="",0,IF(WU!G43&gt;0,WU!G43*-1,WU!G43))</f>
        <v>0</v>
      </c>
      <c r="F34">
        <f>IF(WU!G61="",0,IF(WU!G61&gt;0,WU!G61*-1,WU!G61))</f>
        <v>0</v>
      </c>
      <c r="G34">
        <f>IF(WU!G79="",0,IF(WU!G79&gt;0,WU!G79*-1,WU!G79))</f>
        <v>0</v>
      </c>
      <c r="H34">
        <f>IF(WU!G97="",0,IF(WU!G97&gt;0,WU!G97*-1,WU!G97))</f>
        <v>0</v>
      </c>
    </row>
    <row r="36" spans="1:8" x14ac:dyDescent="0.25">
      <c r="A36" s="1" t="s">
        <v>133</v>
      </c>
      <c r="B36" t="s">
        <v>56</v>
      </c>
    </row>
    <row r="37" spans="1:8" x14ac:dyDescent="0.25">
      <c r="A37" t="s">
        <v>134</v>
      </c>
      <c r="B37" t="s">
        <v>57</v>
      </c>
    </row>
    <row r="38" spans="1:8" x14ac:dyDescent="0.25">
      <c r="A38" t="s">
        <v>135</v>
      </c>
      <c r="B38" t="s">
        <v>58</v>
      </c>
    </row>
    <row r="39" spans="1:8" x14ac:dyDescent="0.25">
      <c r="A39" t="s">
        <v>8</v>
      </c>
      <c r="B39" t="s">
        <v>59</v>
      </c>
    </row>
    <row r="42" spans="1:8" x14ac:dyDescent="0.25">
      <c r="A42" s="10" t="s">
        <v>45</v>
      </c>
    </row>
    <row r="43" spans="1:8" x14ac:dyDescent="0.25">
      <c r="A43" s="11" t="s">
        <v>196</v>
      </c>
    </row>
    <row r="46" spans="1:8" x14ac:dyDescent="0.25">
      <c r="A46" s="79" t="s">
        <v>115</v>
      </c>
      <c r="B46">
        <v>0</v>
      </c>
    </row>
    <row r="47" spans="1:8" x14ac:dyDescent="0.25">
      <c r="A47" s="160" t="s">
        <v>170</v>
      </c>
      <c r="B47" s="161">
        <v>49333.265879999999</v>
      </c>
    </row>
    <row r="48" spans="1:8" x14ac:dyDescent="0.25">
      <c r="A48" s="160" t="s">
        <v>198</v>
      </c>
      <c r="B48" s="161">
        <v>55086.564424486722</v>
      </c>
    </row>
    <row r="49" spans="1:2" x14ac:dyDescent="0.25">
      <c r="A49" s="160" t="s">
        <v>171</v>
      </c>
      <c r="B49" s="161">
        <v>48161.397551824521</v>
      </c>
    </row>
    <row r="50" spans="1:2" x14ac:dyDescent="0.25">
      <c r="A50" s="160" t="s">
        <v>199</v>
      </c>
      <c r="B50" s="161">
        <v>51150.187858493518</v>
      </c>
    </row>
    <row r="51" spans="1:2" x14ac:dyDescent="0.25">
      <c r="A51" s="160" t="s">
        <v>65</v>
      </c>
      <c r="B51" s="161">
        <v>52426.367856261546</v>
      </c>
    </row>
    <row r="52" spans="1:2" x14ac:dyDescent="0.25">
      <c r="A52" s="160" t="s">
        <v>200</v>
      </c>
      <c r="B52" s="161">
        <v>59284.227757429348</v>
      </c>
    </row>
    <row r="53" spans="1:2" x14ac:dyDescent="0.25">
      <c r="A53" s="160" t="s">
        <v>201</v>
      </c>
      <c r="B53" s="161">
        <v>60252.394728452724</v>
      </c>
    </row>
    <row r="54" spans="1:2" x14ac:dyDescent="0.25">
      <c r="A54" s="160" t="s">
        <v>66</v>
      </c>
      <c r="B54" s="161">
        <v>62256.252475164729</v>
      </c>
    </row>
    <row r="55" spans="1:2" x14ac:dyDescent="0.25">
      <c r="A55" s="160" t="s">
        <v>172</v>
      </c>
      <c r="B55" s="161">
        <v>68674.842243588617</v>
      </c>
    </row>
    <row r="56" spans="1:2" x14ac:dyDescent="0.25">
      <c r="A56" s="160" t="s">
        <v>173</v>
      </c>
      <c r="B56" s="161">
        <v>74418.292793954213</v>
      </c>
    </row>
    <row r="57" spans="1:2" x14ac:dyDescent="0.25">
      <c r="A57" s="160" t="s">
        <v>174</v>
      </c>
      <c r="B57" s="161">
        <v>57813.0172645079</v>
      </c>
    </row>
    <row r="58" spans="1:2" x14ac:dyDescent="0.25">
      <c r="A58" s="160" t="s">
        <v>202</v>
      </c>
      <c r="B58" s="161">
        <v>61674.954493112498</v>
      </c>
    </row>
    <row r="59" spans="1:2" x14ac:dyDescent="0.25">
      <c r="A59" s="160" t="s">
        <v>203</v>
      </c>
      <c r="B59" s="161">
        <v>71631.691950257358</v>
      </c>
    </row>
    <row r="60" spans="1:2" x14ac:dyDescent="0.25">
      <c r="A60" s="160" t="s">
        <v>67</v>
      </c>
      <c r="B60" s="161">
        <v>63954.973033478396</v>
      </c>
    </row>
    <row r="61" spans="1:2" x14ac:dyDescent="0.25">
      <c r="A61" s="160" t="s">
        <v>68</v>
      </c>
      <c r="B61" s="161">
        <v>79501.762201718928</v>
      </c>
    </row>
    <row r="62" spans="1:2" x14ac:dyDescent="0.25">
      <c r="A62" s="160" t="s">
        <v>69</v>
      </c>
      <c r="B62" s="161">
        <v>90540.625519017965</v>
      </c>
    </row>
    <row r="63" spans="1:2" x14ac:dyDescent="0.25">
      <c r="A63" s="160" t="s">
        <v>204</v>
      </c>
      <c r="B63" s="161">
        <v>101701.64856375167</v>
      </c>
    </row>
    <row r="64" spans="1:2" x14ac:dyDescent="0.25">
      <c r="A64" s="160" t="s">
        <v>175</v>
      </c>
      <c r="B64" s="161">
        <v>108002.85396601786</v>
      </c>
    </row>
    <row r="65" spans="1:2" x14ac:dyDescent="0.25">
      <c r="A65" s="160" t="s">
        <v>176</v>
      </c>
      <c r="B65" s="161">
        <v>93641.725475845436</v>
      </c>
    </row>
    <row r="66" spans="1:2" x14ac:dyDescent="0.25">
      <c r="A66" s="160" t="s">
        <v>205</v>
      </c>
      <c r="B66" s="161">
        <v>105720.66803139991</v>
      </c>
    </row>
    <row r="67" spans="1:2" x14ac:dyDescent="0.25">
      <c r="A67" s="160" t="s">
        <v>70</v>
      </c>
      <c r="B67" s="161">
        <v>108810.12036830625</v>
      </c>
    </row>
    <row r="68" spans="1:2" x14ac:dyDescent="0.25">
      <c r="A68" s="160" t="s">
        <v>71</v>
      </c>
      <c r="B68" s="161">
        <v>128358.47856606504</v>
      </c>
    </row>
    <row r="69" spans="1:2" x14ac:dyDescent="0.25">
      <c r="A69" s="160" t="s">
        <v>177</v>
      </c>
      <c r="B69" s="161">
        <v>136057.46887090907</v>
      </c>
    </row>
    <row r="70" spans="1:2" x14ac:dyDescent="0.25">
      <c r="A70" s="160" t="s">
        <v>72</v>
      </c>
      <c r="B70" s="161">
        <v>145001.4747899035</v>
      </c>
    </row>
    <row r="71" spans="1:2" x14ac:dyDescent="0.25">
      <c r="A71" s="160" t="s">
        <v>73</v>
      </c>
      <c r="B71" s="161">
        <v>152766.48769986496</v>
      </c>
    </row>
    <row r="72" spans="1:2" x14ac:dyDescent="0.25">
      <c r="A72" s="160" t="s">
        <v>74</v>
      </c>
      <c r="B72" s="161">
        <v>161195.51513401762</v>
      </c>
    </row>
    <row r="73" spans="1:2" x14ac:dyDescent="0.25">
      <c r="A73" s="160" t="s">
        <v>75</v>
      </c>
      <c r="B73" s="161">
        <v>169775.64647714284</v>
      </c>
    </row>
    <row r="74" spans="1:2" x14ac:dyDescent="0.25">
      <c r="A74" s="160" t="s">
        <v>76</v>
      </c>
      <c r="B74" s="161">
        <v>173207.54681999999</v>
      </c>
    </row>
    <row r="75" spans="1:2" x14ac:dyDescent="0.25">
      <c r="A75" s="160" t="s">
        <v>77</v>
      </c>
      <c r="B75" s="161">
        <v>189121.92554434095</v>
      </c>
    </row>
    <row r="76" spans="1:2" x14ac:dyDescent="0.25">
      <c r="A76" s="160" t="s">
        <v>78</v>
      </c>
      <c r="B76" s="161">
        <v>197654.91624571409</v>
      </c>
    </row>
    <row r="77" spans="1:2" x14ac:dyDescent="0.25">
      <c r="A77" s="160" t="s">
        <v>79</v>
      </c>
      <c r="B77" s="161">
        <v>221179.70907348796</v>
      </c>
    </row>
    <row r="78" spans="1:2" x14ac:dyDescent="0.25">
      <c r="A78" s="160" t="s">
        <v>80</v>
      </c>
      <c r="B78" s="161">
        <v>265252.17144000001</v>
      </c>
    </row>
    <row r="79" spans="1:2" x14ac:dyDescent="0.25">
      <c r="A79" s="77"/>
      <c r="B79" s="78"/>
    </row>
    <row r="80" spans="1:2" x14ac:dyDescent="0.25">
      <c r="A80" s="79" t="s">
        <v>115</v>
      </c>
      <c r="B80" s="78"/>
    </row>
    <row r="81" spans="1:2" x14ac:dyDescent="0.25">
      <c r="A81" s="160" t="s">
        <v>81</v>
      </c>
      <c r="B81" s="161">
        <v>48517.761824649024</v>
      </c>
    </row>
    <row r="82" spans="1:2" x14ac:dyDescent="0.25">
      <c r="A82" s="160" t="s">
        <v>178</v>
      </c>
      <c r="B82" s="161">
        <v>48758.654510652232</v>
      </c>
    </row>
    <row r="83" spans="1:2" x14ac:dyDescent="0.25">
      <c r="A83" s="160" t="s">
        <v>206</v>
      </c>
      <c r="B83" s="161">
        <v>49967.610873424586</v>
      </c>
    </row>
    <row r="84" spans="1:2" x14ac:dyDescent="0.25">
      <c r="A84" s="160" t="s">
        <v>82</v>
      </c>
      <c r="B84" s="161">
        <v>49490.886552473203</v>
      </c>
    </row>
    <row r="85" spans="1:2" x14ac:dyDescent="0.25">
      <c r="A85" s="160" t="s">
        <v>179</v>
      </c>
      <c r="B85" s="161">
        <v>50196.93050734439</v>
      </c>
    </row>
    <row r="86" spans="1:2" x14ac:dyDescent="0.25">
      <c r="A86" s="160" t="s">
        <v>180</v>
      </c>
      <c r="B86" s="161">
        <v>51281.257168575794</v>
      </c>
    </row>
    <row r="87" spans="1:2" x14ac:dyDescent="0.25">
      <c r="A87" s="160" t="s">
        <v>181</v>
      </c>
      <c r="B87" s="161">
        <v>55746.896068831811</v>
      </c>
    </row>
    <row r="88" spans="1:2" x14ac:dyDescent="0.25">
      <c r="A88" s="160" t="s">
        <v>184</v>
      </c>
      <c r="B88" s="161">
        <v>52490.140776425083</v>
      </c>
    </row>
    <row r="89" spans="1:2" x14ac:dyDescent="0.25">
      <c r="A89" s="160" t="s">
        <v>182</v>
      </c>
      <c r="B89" s="161">
        <v>60266.082524336874</v>
      </c>
    </row>
    <row r="90" spans="1:2" x14ac:dyDescent="0.25">
      <c r="A90" s="160" t="s">
        <v>183</v>
      </c>
      <c r="B90" s="161">
        <v>61246.516119133848</v>
      </c>
    </row>
    <row r="91" spans="1:2" x14ac:dyDescent="0.25">
      <c r="A91" s="160" t="s">
        <v>185</v>
      </c>
      <c r="B91" s="161">
        <v>55164.320886928734</v>
      </c>
    </row>
    <row r="92" spans="1:2" x14ac:dyDescent="0.25">
      <c r="A92" s="160" t="s">
        <v>207</v>
      </c>
      <c r="B92" s="161">
        <v>58104.676172614229</v>
      </c>
    </row>
    <row r="93" spans="1:2" x14ac:dyDescent="0.25">
      <c r="A93" s="160" t="s">
        <v>83</v>
      </c>
      <c r="B93" s="161">
        <v>60675.615717905108</v>
      </c>
    </row>
    <row r="94" spans="1:2" x14ac:dyDescent="0.25">
      <c r="A94" s="160" t="s">
        <v>186</v>
      </c>
      <c r="B94" s="161">
        <v>60894.412145064474</v>
      </c>
    </row>
    <row r="95" spans="1:2" x14ac:dyDescent="0.25">
      <c r="A95" s="160" t="s">
        <v>187</v>
      </c>
      <c r="B95" s="161">
        <v>69504.220333679245</v>
      </c>
    </row>
    <row r="96" spans="1:2" x14ac:dyDescent="0.25">
      <c r="A96" s="160" t="s">
        <v>208</v>
      </c>
      <c r="B96" s="161">
        <v>68826.597475266826</v>
      </c>
    </row>
    <row r="97" spans="1:2" x14ac:dyDescent="0.25">
      <c r="A97" s="160" t="s">
        <v>188</v>
      </c>
      <c r="B97" s="161">
        <v>79327.448601710421</v>
      </c>
    </row>
    <row r="98" spans="1:2" x14ac:dyDescent="0.25">
      <c r="A98" s="160" t="s">
        <v>189</v>
      </c>
      <c r="B98" s="161">
        <v>86311.326551909733</v>
      </c>
    </row>
    <row r="99" spans="1:2" x14ac:dyDescent="0.25">
      <c r="A99" s="160" t="s">
        <v>190</v>
      </c>
      <c r="B99" s="161">
        <v>64477.027360912783</v>
      </c>
    </row>
    <row r="100" spans="1:2" x14ac:dyDescent="0.25">
      <c r="A100" s="160" t="s">
        <v>209</v>
      </c>
      <c r="B100" s="161">
        <v>77566.968202492135</v>
      </c>
    </row>
    <row r="101" spans="1:2" x14ac:dyDescent="0.25">
      <c r="A101" s="160" t="s">
        <v>84</v>
      </c>
      <c r="B101" s="161">
        <v>73073.67434551414</v>
      </c>
    </row>
    <row r="102" spans="1:2" x14ac:dyDescent="0.25">
      <c r="A102" s="160" t="s">
        <v>85</v>
      </c>
      <c r="B102" s="161">
        <v>89688.672069527849</v>
      </c>
    </row>
    <row r="103" spans="1:2" x14ac:dyDescent="0.25">
      <c r="A103" s="160" t="s">
        <v>86</v>
      </c>
      <c r="B103" s="161">
        <v>97853.983121339188</v>
      </c>
    </row>
    <row r="104" spans="1:2" x14ac:dyDescent="0.25">
      <c r="A104" s="160" t="s">
        <v>191</v>
      </c>
      <c r="B104" s="161">
        <v>115790.58684637949</v>
      </c>
    </row>
    <row r="105" spans="1:2" x14ac:dyDescent="0.25">
      <c r="A105" s="160" t="s">
        <v>192</v>
      </c>
      <c r="B105" s="161">
        <v>120213.50719545109</v>
      </c>
    </row>
    <row r="106" spans="1:2" x14ac:dyDescent="0.25">
      <c r="A106" s="160" t="s">
        <v>193</v>
      </c>
      <c r="B106" s="161">
        <v>104309.80961419521</v>
      </c>
    </row>
    <row r="107" spans="1:2" x14ac:dyDescent="0.25">
      <c r="A107" s="160" t="s">
        <v>210</v>
      </c>
      <c r="B107" s="161">
        <v>113255.02861914338</v>
      </c>
    </row>
    <row r="108" spans="1:2" x14ac:dyDescent="0.25">
      <c r="A108" s="160" t="s">
        <v>87</v>
      </c>
      <c r="B108" s="161">
        <v>117076.62052528643</v>
      </c>
    </row>
    <row r="109" spans="1:2" x14ac:dyDescent="0.25">
      <c r="A109" s="160" t="s">
        <v>88</v>
      </c>
      <c r="B109" s="161">
        <v>134704.07059193359</v>
      </c>
    </row>
    <row r="110" spans="1:2" x14ac:dyDescent="0.25">
      <c r="A110" s="160" t="s">
        <v>89</v>
      </c>
      <c r="B110" s="161">
        <v>152465.93450596841</v>
      </c>
    </row>
    <row r="111" spans="1:2" x14ac:dyDescent="0.25">
      <c r="A111" s="160" t="s">
        <v>90</v>
      </c>
      <c r="B111" s="161">
        <v>168603.08425328319</v>
      </c>
    </row>
    <row r="112" spans="1:2" x14ac:dyDescent="0.25">
      <c r="A112" s="160" t="s">
        <v>91</v>
      </c>
      <c r="B112" s="161">
        <v>197688.73512848979</v>
      </c>
    </row>
    <row r="113" spans="1:2" x14ac:dyDescent="0.25">
      <c r="A113" s="160" t="s">
        <v>92</v>
      </c>
      <c r="B113" s="161">
        <v>207851.21095828159</v>
      </c>
    </row>
    <row r="114" spans="1:2" x14ac:dyDescent="0.25">
      <c r="A114" s="160" t="s">
        <v>93</v>
      </c>
      <c r="B114" s="161">
        <v>228896.37782971418</v>
      </c>
    </row>
    <row r="115" spans="1:2" x14ac:dyDescent="0.25">
      <c r="A115" s="160" t="s">
        <v>94</v>
      </c>
      <c r="B115" s="161">
        <v>271894.6502921746</v>
      </c>
    </row>
    <row r="116" spans="1:2" x14ac:dyDescent="0.25">
      <c r="A116" s="160" t="s">
        <v>194</v>
      </c>
      <c r="B116" s="161">
        <v>276064.75286000007</v>
      </c>
    </row>
    <row r="117" spans="1:2" x14ac:dyDescent="0.25">
      <c r="A117" s="77"/>
      <c r="B117" s="78"/>
    </row>
    <row r="118" spans="1:2" x14ac:dyDescent="0.25">
      <c r="A118" s="79" t="s">
        <v>115</v>
      </c>
      <c r="B118" s="78"/>
    </row>
    <row r="119" spans="1:2" x14ac:dyDescent="0.25">
      <c r="A119" s="160" t="s">
        <v>96</v>
      </c>
      <c r="B119" s="161">
        <v>53267.796726327993</v>
      </c>
    </row>
    <row r="120" spans="1:2" x14ac:dyDescent="0.25">
      <c r="A120" s="160" t="s">
        <v>95</v>
      </c>
      <c r="B120" s="162">
        <v>53292.645748810515</v>
      </c>
    </row>
    <row r="121" spans="1:2" x14ac:dyDescent="0.25">
      <c r="A121" s="160" t="s">
        <v>97</v>
      </c>
      <c r="B121" s="162">
        <v>55706.273914074707</v>
      </c>
    </row>
    <row r="122" spans="1:2" x14ac:dyDescent="0.25">
      <c r="A122" s="160" t="s">
        <v>98</v>
      </c>
      <c r="B122" s="161">
        <v>57326.386046609041</v>
      </c>
    </row>
    <row r="123" spans="1:2" x14ac:dyDescent="0.25">
      <c r="A123" s="160" t="s">
        <v>99</v>
      </c>
      <c r="B123" s="161">
        <v>59520.230047205958</v>
      </c>
    </row>
    <row r="124" spans="1:2" x14ac:dyDescent="0.25">
      <c r="A124" s="160" t="s">
        <v>100</v>
      </c>
      <c r="B124" s="161">
        <v>62081.186718822544</v>
      </c>
    </row>
    <row r="125" spans="1:2" x14ac:dyDescent="0.25">
      <c r="A125" s="160" t="s">
        <v>101</v>
      </c>
      <c r="B125" s="161">
        <v>64797.977133275177</v>
      </c>
    </row>
    <row r="126" spans="1:2" x14ac:dyDescent="0.25">
      <c r="A126" s="160" t="s">
        <v>102</v>
      </c>
      <c r="B126" s="161">
        <v>67482.885749445792</v>
      </c>
    </row>
    <row r="127" spans="1:2" x14ac:dyDescent="0.25">
      <c r="A127" s="160" t="s">
        <v>103</v>
      </c>
      <c r="B127" s="161">
        <v>74215.531025169941</v>
      </c>
    </row>
    <row r="128" spans="1:2" x14ac:dyDescent="0.25">
      <c r="A128" s="160" t="s">
        <v>104</v>
      </c>
      <c r="B128" s="161">
        <v>80861.163767015314</v>
      </c>
    </row>
    <row r="129" spans="1:2" x14ac:dyDescent="0.25">
      <c r="A129" s="160" t="s">
        <v>105</v>
      </c>
      <c r="B129" s="161">
        <v>84012.273156687123</v>
      </c>
    </row>
    <row r="130" spans="1:2" x14ac:dyDescent="0.25">
      <c r="A130" s="160" t="s">
        <v>106</v>
      </c>
      <c r="B130" s="161">
        <v>84272.225340260775</v>
      </c>
    </row>
    <row r="131" spans="1:2" x14ac:dyDescent="0.25">
      <c r="A131" s="160" t="s">
        <v>107</v>
      </c>
      <c r="B131" s="161">
        <v>93039.430888338102</v>
      </c>
    </row>
    <row r="132" spans="1:2" x14ac:dyDescent="0.25">
      <c r="A132" s="160" t="s">
        <v>108</v>
      </c>
      <c r="B132" s="161">
        <v>102991.33376502822</v>
      </c>
    </row>
    <row r="133" spans="1:2" x14ac:dyDescent="0.25">
      <c r="A133" s="160" t="s">
        <v>109</v>
      </c>
      <c r="B133" s="161">
        <v>90811.645828332214</v>
      </c>
    </row>
    <row r="134" spans="1:2" x14ac:dyDescent="0.25">
      <c r="A134" s="160" t="s">
        <v>110</v>
      </c>
      <c r="B134" s="161">
        <v>105632.4447616941</v>
      </c>
    </row>
    <row r="135" spans="1:2" x14ac:dyDescent="0.25">
      <c r="A135" s="160" t="s">
        <v>111</v>
      </c>
      <c r="B135" s="161">
        <v>117889.20276004162</v>
      </c>
    </row>
    <row r="136" spans="1:2" x14ac:dyDescent="0.25">
      <c r="A136" s="160" t="s">
        <v>112</v>
      </c>
      <c r="B136" s="161">
        <v>136274.63251901374</v>
      </c>
    </row>
    <row r="137" spans="1:2" x14ac:dyDescent="0.25">
      <c r="A137" s="160" t="s">
        <v>113</v>
      </c>
      <c r="B137" s="161">
        <v>127094.78400893995</v>
      </c>
    </row>
    <row r="138" spans="1:2" x14ac:dyDescent="0.25">
      <c r="A138" s="160" t="s">
        <v>195</v>
      </c>
      <c r="B138" s="161">
        <v>137878.667429636</v>
      </c>
    </row>
    <row r="139" spans="1:2" x14ac:dyDescent="0.25">
      <c r="A139" s="160" t="s">
        <v>114</v>
      </c>
      <c r="B139" s="161">
        <v>167604.365049302</v>
      </c>
    </row>
    <row r="140" spans="1:2" x14ac:dyDescent="0.25">
      <c r="A140" s="160" t="s">
        <v>114</v>
      </c>
      <c r="B140" s="161">
        <v>158392.9985681549</v>
      </c>
    </row>
    <row r="141" spans="1:2" x14ac:dyDescent="0.25">
      <c r="A141" s="77"/>
      <c r="B141" s="78"/>
    </row>
    <row r="142" spans="1:2" ht="19.5" x14ac:dyDescent="0.25">
      <c r="A142" s="79" t="s">
        <v>162</v>
      </c>
    </row>
    <row r="143" spans="1:2" x14ac:dyDescent="0.25">
      <c r="A143" s="79" t="s">
        <v>159</v>
      </c>
    </row>
    <row r="144" spans="1:2" x14ac:dyDescent="0.25">
      <c r="A144" s="79" t="s">
        <v>160</v>
      </c>
    </row>
    <row r="145" spans="1:3" x14ac:dyDescent="0.25">
      <c r="A145" s="79" t="s">
        <v>161</v>
      </c>
    </row>
    <row r="148" spans="1:3" x14ac:dyDescent="0.25">
      <c r="A148" t="s">
        <v>153</v>
      </c>
      <c r="B148">
        <v>0</v>
      </c>
      <c r="C148">
        <v>0</v>
      </c>
    </row>
    <row r="149" spans="1:3" x14ac:dyDescent="0.25">
      <c r="A149" t="s">
        <v>154</v>
      </c>
      <c r="B149">
        <f>WU!B12</f>
        <v>0</v>
      </c>
      <c r="C149">
        <v>0</v>
      </c>
    </row>
    <row r="150" spans="1:3" x14ac:dyDescent="0.25">
      <c r="A150" t="s">
        <v>155</v>
      </c>
      <c r="B150">
        <v>0</v>
      </c>
      <c r="C150">
        <f>WU!F6-WU!D6+1</f>
        <v>306</v>
      </c>
    </row>
    <row r="151" spans="1:3" x14ac:dyDescent="0.25">
      <c r="A151" t="s">
        <v>156</v>
      </c>
      <c r="B151">
        <v>0</v>
      </c>
      <c r="C151">
        <v>0</v>
      </c>
    </row>
  </sheetData>
  <dataValidations count="1">
    <dataValidation type="list" allowBlank="1" showInputMessage="1" showErrorMessage="1" sqref="A43" xr:uid="{00000000-0002-0000-0100-000000000000}">
      <formula1>"Ein, Aus"</formula1>
    </dataValidation>
  </dataValidations>
  <pageMargins left="0.7" right="0.7" top="0.78740157499999996" bottom="0.78740157499999996"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1</vt:i4>
      </vt:variant>
    </vt:vector>
  </HeadingPairs>
  <TitlesOfParts>
    <vt:vector size="4" baseType="lpstr">
      <vt:lpstr>WU</vt:lpstr>
      <vt:lpstr>Anlagen</vt:lpstr>
      <vt:lpstr>Hilfstabelle</vt:lpstr>
      <vt:lpstr>WU!Druckbereich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KompZWUBw</dc:creator>
  <cp:lastModifiedBy>KompZWUBw</cp:lastModifiedBy>
  <cp:lastPrinted>2025-03-12T15:05:19Z</cp:lastPrinted>
  <dcterms:created xsi:type="dcterms:W3CDTF">2022-12-14T08:03:05Z</dcterms:created>
  <dcterms:modified xsi:type="dcterms:W3CDTF">2026-04-14T10:47:32Z</dcterms:modified>
</cp:coreProperties>
</file>