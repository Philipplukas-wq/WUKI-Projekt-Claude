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tKdzX4x2mbZAExj5822gC0FNIUkr1eQHnfXq0LMhp+olYDMBzMeykMyDN9KMfQX4boistdWnaY2XjuC/BadOTQ==" workbookSaltValue="XUlvsMNkuAuDMcN4//kQ4g==" workbookSpinCount="100000"/>
  <bookViews>
    <workbookView visibility="visible" minimized="0" showHorizontalScroll="1" showVerticalScroll="1" showSheetTabs="1" xWindow="-28920" yWindow="30" windowWidth="29040" windowHeight="15720" tabRatio="600" firstSheet="0" activeTab="0" autoFilterDateGrouping="1"/>
  </bookViews>
  <sheets>
    <sheet xmlns:r="http://schemas.openxmlformats.org/officeDocument/2006/relationships" name="WU" sheetId="1" state="visible" r:id="rId1"/>
    <sheet xmlns:r="http://schemas.openxmlformats.org/officeDocument/2006/relationships" name="Anlagen" sheetId="2" state="visible" r:id="rId2"/>
    <sheet xmlns:r="http://schemas.openxmlformats.org/officeDocument/2006/relationships" name="Hilfstabelle" sheetId="3" state="hidden" r:id="rId3"/>
  </sheets>
  <definedNames>
    <definedName name="_xlnm.Print_Area" localSheetId="0">'WU'!$A$1:$G$117</definedName>
  </definedNames>
  <calcPr calcId="191029" fullCalcOnLoad="1"/>
</workbook>
</file>

<file path=xl/styles.xml><?xml version="1.0" encoding="utf-8"?>
<styleSheet xmlns="http://schemas.openxmlformats.org/spreadsheetml/2006/main">
  <numFmts count="5">
    <numFmt numFmtId="164" formatCode="0.0"/>
    <numFmt numFmtId="165" formatCode="#,##0.00\ &quot;€&quot;"/>
    <numFmt numFmtId="166" formatCode="#,##0\ _€"/>
    <numFmt numFmtId="167" formatCode="_-* #,##0.00_-;\-* #,##0.00_-;_-* &quot;-&quot;??_-;_-@_-"/>
    <numFmt numFmtId="168" formatCode="_(&quot;€&quot;* #,##0.00_);_(&quot;€&quot;* \(#,##0.00\);_(&quot;€&quot;* &quot;-&quot;??_);_(@_)"/>
  </numFmts>
  <fonts count="34">
    <font>
      <name val="Calibri"/>
      <family val="2"/>
      <color theme="1"/>
      <sz val="11"/>
      <scheme val="minor"/>
    </font>
    <font>
      <name val="Calibri"/>
      <family val="2"/>
      <color theme="1"/>
      <sz val="11"/>
      <scheme val="minor"/>
    </font>
    <font>
      <name val="Arial"/>
      <family val="2"/>
      <color theme="1"/>
      <sz val="9"/>
    </font>
    <font>
      <name val="Calibri"/>
      <family val="2"/>
      <sz val="11"/>
      <scheme val="minor"/>
    </font>
    <font>
      <name val="Arial"/>
      <family val="2"/>
      <b val="1"/>
      <color theme="0"/>
      <sz val="9"/>
    </font>
    <font>
      <name val="Calibri"/>
      <family val="2"/>
      <b val="1"/>
      <color theme="1"/>
      <sz val="11"/>
      <scheme val="minor"/>
    </font>
    <font>
      <name val="BundesSans Regular"/>
      <family val="2"/>
      <b val="1"/>
      <color theme="0"/>
      <sz val="9"/>
    </font>
    <font>
      <name val="BundesSans Regular"/>
      <family val="2"/>
      <color theme="1"/>
      <sz val="11"/>
    </font>
    <font>
      <name val="BundesSans Office"/>
      <family val="2"/>
      <color theme="1"/>
      <sz val="9"/>
    </font>
    <font>
      <name val="BundesSans Office"/>
      <family val="2"/>
      <b val="1"/>
      <color theme="0"/>
      <sz val="9"/>
    </font>
    <font>
      <name val="BundesSans Office"/>
      <family val="2"/>
      <b val="1"/>
      <color theme="1"/>
      <sz val="11"/>
    </font>
    <font>
      <name val="BundesSans Office"/>
      <family val="2"/>
      <b val="1"/>
      <color theme="1"/>
      <sz val="8"/>
    </font>
    <font>
      <name val="BundesSans Office"/>
      <family val="2"/>
      <color indexed="8"/>
      <sz val="8"/>
    </font>
    <font>
      <name val="BundesSans Office"/>
      <family val="2"/>
      <b val="1"/>
      <color theme="1"/>
      <sz val="9"/>
    </font>
    <font>
      <name val="BundesSans Office"/>
      <family val="2"/>
      <b val="1"/>
      <i val="1"/>
      <color indexed="8"/>
      <sz val="9"/>
    </font>
    <font>
      <name val="BundesSans Office"/>
      <family val="2"/>
      <color indexed="8"/>
      <sz val="9"/>
    </font>
    <font>
      <name val="BundesSans Office"/>
      <family val="2"/>
      <color indexed="9"/>
      <sz val="9"/>
    </font>
    <font>
      <name val="BundesSans Office"/>
      <family val="2"/>
      <color theme="0"/>
      <sz val="9"/>
    </font>
    <font>
      <name val="BundesSans Office"/>
      <family val="2"/>
      <b val="1"/>
      <color theme="0"/>
      <sz val="6"/>
    </font>
    <font>
      <name val="BundesSans Office"/>
      <family val="2"/>
      <b val="1"/>
      <i val="1"/>
      <color theme="1"/>
      <sz val="9"/>
    </font>
    <font>
      <name val="BundesSans Office"/>
      <family val="2"/>
      <i val="1"/>
      <color theme="1"/>
      <sz val="9"/>
    </font>
    <font>
      <name val="BundesSans Office"/>
      <family val="2"/>
      <b val="1"/>
      <sz val="9"/>
    </font>
    <font>
      <name val="BundesSans Office"/>
      <family val="2"/>
      <sz val="9"/>
    </font>
    <font>
      <name val="BundesSans Office"/>
      <family val="2"/>
      <i val="1"/>
      <color indexed="8"/>
      <sz val="9"/>
    </font>
    <font>
      <name val="BundesSans Office"/>
      <family val="2"/>
      <sz val="8"/>
    </font>
    <font>
      <name val="BundesSans Office"/>
      <family val="2"/>
      <i val="1"/>
      <color theme="0" tint="-0.499984740745262"/>
      <sz val="8"/>
    </font>
    <font>
      <name val="BundesSans Office"/>
      <family val="2"/>
      <b val="1"/>
      <color indexed="8"/>
      <sz val="9"/>
    </font>
    <font>
      <name val="BundesSans Office"/>
      <family val="2"/>
      <i val="1"/>
      <color theme="1"/>
      <sz val="9"/>
      <u val="single"/>
    </font>
    <font>
      <name val="Arial Narrow"/>
      <family val="2"/>
      <color theme="1"/>
      <sz val="7"/>
    </font>
    <font>
      <name val="Arial"/>
      <family val="2"/>
      <color theme="1"/>
      <sz val="10"/>
    </font>
    <font>
      <name val="BundesSans Office"/>
      <family val="2"/>
      <b val="1"/>
      <i val="1"/>
      <sz val="9"/>
    </font>
    <font>
      <name val="BundesSans Office"/>
      <family val="2"/>
      <b val="1"/>
      <i val="1"/>
      <sz val="8"/>
    </font>
    <font>
      <name val="BundesSans Office"/>
      <family val="2"/>
      <b val="1"/>
      <color rgb="FFFF0000"/>
      <sz val="9"/>
    </font>
    <font>
      <name val="Arial Narrow"/>
      <family val="2"/>
      <color theme="1"/>
      <sz val="7"/>
      <u val="single"/>
    </font>
  </fonts>
  <fills count="8">
    <fill>
      <patternFill/>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rgb="FFFFFFB7"/>
        <bgColor indexed="64"/>
      </patternFill>
    </fill>
    <fill>
      <patternFill patternType="solid">
        <fgColor theme="3" tint="0.7999816888943144"/>
        <bgColor indexed="64"/>
      </patternFill>
    </fill>
    <fill>
      <patternFill patternType="solid">
        <fgColor theme="9" tint="0.5999938962981048"/>
        <bgColor indexed="64"/>
      </patternFill>
    </fill>
  </fills>
  <borders count="44">
    <border>
      <left/>
      <right/>
      <top/>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medium">
        <color indexed="64"/>
      </right>
      <top/>
      <bottom style="thin">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s>
  <cellStyleXfs count="4">
    <xf numFmtId="0" fontId="1" fillId="0" borderId="0"/>
    <xf numFmtId="168" fontId="1" fillId="0" borderId="0"/>
    <xf numFmtId="9" fontId="1" fillId="0" borderId="0"/>
    <xf numFmtId="43" fontId="1" fillId="0" borderId="0"/>
  </cellStyleXfs>
  <cellXfs count="273">
    <xf numFmtId="0" fontId="0" fillId="0" borderId="0" pivotButton="0" quotePrefix="0" xfId="0"/>
    <xf numFmtId="0" fontId="0" fillId="0" borderId="0" applyAlignment="1" pivotButton="0" quotePrefix="0" xfId="0">
      <alignment horizontal="left"/>
    </xf>
    <xf numFmtId="0" fontId="0" fillId="0" borderId="0" applyAlignment="1" pivotButton="0" quotePrefix="0" xfId="0">
      <alignment horizontal="right"/>
    </xf>
    <xf numFmtId="164" fontId="0" fillId="0" borderId="0" applyAlignment="1" pivotButton="0" quotePrefix="1" xfId="0">
      <alignment horizontal="right"/>
    </xf>
    <xf numFmtId="1" fontId="0" fillId="0" borderId="0" applyAlignment="1" pivotButton="0" quotePrefix="0" xfId="0">
      <alignment horizontal="right"/>
    </xf>
    <xf numFmtId="164" fontId="0" fillId="0" borderId="0" applyAlignment="1" pivotButton="0" quotePrefix="0" xfId="0">
      <alignment horizontal="right"/>
    </xf>
    <xf numFmtId="0" fontId="0" fillId="0" borderId="0" applyAlignment="1" pivotButton="0" quotePrefix="0" xfId="0">
      <alignment wrapText="1"/>
    </xf>
    <xf numFmtId="0" fontId="2" fillId="0" borderId="0" applyAlignment="1" applyProtection="1" pivotButton="0" quotePrefix="0" xfId="0">
      <alignment vertical="center" wrapText="1"/>
      <protection locked="0" hidden="0"/>
    </xf>
    <xf numFmtId="0" fontId="2" fillId="0" borderId="0" applyAlignment="1" pivotButton="0" quotePrefix="0" xfId="0">
      <alignment vertical="center" wrapText="1"/>
    </xf>
    <xf numFmtId="0" fontId="3" fillId="0" borderId="0" pivotButton="0" quotePrefix="0" xfId="0"/>
    <xf numFmtId="0" fontId="5" fillId="0" borderId="0" pivotButton="0" quotePrefix="0" xfId="0"/>
    <xf numFmtId="0" fontId="0" fillId="4" borderId="0" pivotButton="0" quotePrefix="0" xfId="0"/>
    <xf numFmtId="0" fontId="0" fillId="0" borderId="0" pivotButton="0" quotePrefix="0" xfId="0"/>
    <xf numFmtId="165" fontId="4" fillId="0" borderId="0" applyAlignment="1" pivotButton="0" quotePrefix="0" xfId="0">
      <alignment vertical="center"/>
    </xf>
    <xf numFmtId="165" fontId="6" fillId="3" borderId="0" applyAlignment="1" pivotButton="0" quotePrefix="0" xfId="0">
      <alignment vertical="center"/>
    </xf>
    <xf numFmtId="0" fontId="7" fillId="3" borderId="0" pivotButton="0" quotePrefix="0" xfId="0"/>
    <xf numFmtId="165" fontId="9" fillId="3" borderId="0" applyAlignment="1" pivotButton="0" quotePrefix="0" xfId="0">
      <alignment vertical="center"/>
    </xf>
    <xf numFmtId="0" fontId="8" fillId="2" borderId="1" applyAlignment="1" applyProtection="1" pivotButton="0" quotePrefix="0" xfId="0">
      <alignment horizontal="centerContinuous" vertical="center" wrapText="1"/>
      <protection locked="0" hidden="0"/>
    </xf>
    <xf numFmtId="0" fontId="8" fillId="3" borderId="3" applyAlignment="1" applyProtection="1" pivotButton="0" quotePrefix="0" xfId="0">
      <alignment horizontal="centerContinuous" vertical="center" wrapText="1"/>
      <protection locked="0" hidden="0"/>
    </xf>
    <xf numFmtId="14" fontId="8" fillId="2" borderId="5" applyAlignment="1" applyProtection="1" pivotButton="0" quotePrefix="0" xfId="0">
      <alignment horizontal="centerContinuous" vertical="center" wrapText="1"/>
      <protection locked="0" hidden="0"/>
    </xf>
    <xf numFmtId="0" fontId="8" fillId="3" borderId="4" applyAlignment="1" applyProtection="1" pivotButton="0" quotePrefix="0" xfId="0">
      <alignment horizontal="center" vertical="center" wrapText="1"/>
      <protection locked="0" hidden="0"/>
    </xf>
    <xf numFmtId="14" fontId="8" fillId="2" borderId="1" applyAlignment="1" applyProtection="1" pivotButton="0" quotePrefix="0" xfId="0">
      <alignment horizontal="centerContinuous" vertical="center" wrapText="1"/>
      <protection locked="0" hidden="0"/>
    </xf>
    <xf numFmtId="0" fontId="8" fillId="3" borderId="5" applyAlignment="1" applyProtection="1" pivotButton="0" quotePrefix="0" xfId="0">
      <alignment vertical="center" wrapText="1"/>
      <protection locked="0" hidden="0"/>
    </xf>
    <xf numFmtId="0" fontId="8" fillId="3" borderId="4" applyAlignment="1" pivotButton="0" quotePrefix="0" xfId="0">
      <alignment horizontal="centerContinuous" vertical="center" wrapText="1"/>
    </xf>
    <xf numFmtId="0" fontId="8" fillId="3" borderId="3" applyAlignment="1" pivotButton="0" quotePrefix="0" xfId="0">
      <alignment horizontal="centerContinuous" vertical="center" wrapText="1"/>
    </xf>
    <xf numFmtId="0" fontId="8" fillId="3" borderId="1" applyAlignment="1" pivotButton="0" quotePrefix="0" xfId="0">
      <alignment horizontal="centerContinuous" vertical="center" wrapText="1"/>
    </xf>
    <xf numFmtId="0" fontId="8" fillId="2" borderId="1" applyAlignment="1" pivotButton="0" quotePrefix="0" xfId="0">
      <alignment horizontal="centerContinuous" vertical="center" wrapText="1"/>
    </xf>
    <xf numFmtId="0" fontId="8" fillId="3" borderId="7" applyAlignment="1" applyProtection="1" pivotButton="0" quotePrefix="0" xfId="0">
      <alignment horizontal="center" vertical="center" wrapText="1"/>
      <protection locked="0" hidden="0"/>
    </xf>
    <xf numFmtId="0" fontId="8" fillId="2" borderId="25" applyAlignment="1" pivotButton="0" quotePrefix="0" xfId="0">
      <alignment horizontal="centerContinuous" vertical="center" wrapText="1"/>
    </xf>
    <xf numFmtId="0" fontId="8" fillId="3" borderId="25" applyAlignment="1" pivotButton="0" quotePrefix="0" xfId="0">
      <alignment horizontal="centerContinuous" vertical="center" wrapText="1"/>
    </xf>
    <xf numFmtId="0" fontId="8" fillId="3" borderId="26" applyAlignment="1" pivotButton="0" quotePrefix="0" xfId="0">
      <alignment horizontal="centerContinuous" vertical="center" wrapText="1"/>
    </xf>
    <xf numFmtId="0" fontId="8" fillId="3" borderId="5" applyAlignment="1" applyProtection="1" pivotButton="0" quotePrefix="0" xfId="0">
      <alignment horizontal="center" vertical="center" wrapText="1"/>
      <protection locked="0" hidden="0"/>
    </xf>
    <xf numFmtId="0" fontId="8" fillId="3" borderId="5" applyAlignment="1" pivotButton="0" quotePrefix="0" xfId="0">
      <alignment horizontal="center" vertical="center" wrapText="1"/>
    </xf>
    <xf numFmtId="0" fontId="8" fillId="0" borderId="3" applyAlignment="1" pivotButton="0" quotePrefix="0" xfId="0">
      <alignment horizontal="centerContinuous" vertical="center" wrapText="1"/>
    </xf>
    <xf numFmtId="0" fontId="13" fillId="3" borderId="7" applyAlignment="1" pivotButton="0" quotePrefix="0" xfId="0">
      <alignment horizontal="right" vertical="center" wrapText="1"/>
    </xf>
    <xf numFmtId="0" fontId="13" fillId="3" borderId="6" applyAlignment="1" pivotButton="0" quotePrefix="0" xfId="0">
      <alignment horizontal="left" vertical="center" wrapText="1"/>
    </xf>
    <xf numFmtId="1" fontId="13" fillId="3" borderId="6" applyAlignment="1" pivotButton="0" quotePrefix="1" xfId="0">
      <alignment horizontal="left" vertical="center" wrapText="1"/>
    </xf>
    <xf numFmtId="0" fontId="8" fillId="2" borderId="4" applyAlignment="1" pivotButton="0" quotePrefix="0" xfId="0">
      <alignment horizontal="centerContinuous" vertical="center" wrapText="1"/>
    </xf>
    <xf numFmtId="0" fontId="13" fillId="3" borderId="1" applyAlignment="1" pivotButton="0" quotePrefix="0" xfId="0">
      <alignment vertical="center" wrapText="1"/>
    </xf>
    <xf numFmtId="0" fontId="13" fillId="3" borderId="4" applyAlignment="1" pivotButton="0" quotePrefix="0" xfId="0">
      <alignment vertical="center" wrapText="1"/>
    </xf>
    <xf numFmtId="0" fontId="19" fillId="3" borderId="5" applyAlignment="1" pivotButton="0" quotePrefix="0" xfId="0">
      <alignment horizontal="center" vertical="center" wrapText="1"/>
    </xf>
    <xf numFmtId="0" fontId="13" fillId="3" borderId="3" applyAlignment="1" pivotButton="0" quotePrefix="0" xfId="0">
      <alignment horizontal="center" vertical="center" wrapText="1"/>
    </xf>
    <xf numFmtId="0" fontId="13" fillId="3" borderId="8" applyAlignment="1" applyProtection="1" pivotButton="0" quotePrefix="0" xfId="0">
      <alignment horizontal="left" wrapText="1"/>
      <protection locked="0" hidden="0"/>
    </xf>
    <xf numFmtId="0" fontId="20" fillId="3" borderId="28" applyAlignment="1" pivotButton="0" quotePrefix="0" xfId="0">
      <alignment horizontal="centerContinuous" vertical="center" wrapText="1"/>
    </xf>
    <xf numFmtId="0" fontId="21" fillId="3" borderId="10" applyAlignment="1" pivotButton="0" quotePrefix="0" xfId="0">
      <alignment horizontal="center" vertical="center" wrapText="1"/>
    </xf>
    <xf numFmtId="0" fontId="22" fillId="2" borderId="11" applyAlignment="1" pivotButton="0" quotePrefix="0" xfId="0">
      <alignment horizontal="center" vertical="center" wrapText="1"/>
    </xf>
    <xf numFmtId="0" fontId="22" fillId="2" borderId="11" applyAlignment="1" pivotButton="0" quotePrefix="0" xfId="0">
      <alignment horizontal="center" vertical="center"/>
    </xf>
    <xf numFmtId="165" fontId="22" fillId="2" borderId="22" applyAlignment="1" pivotButton="0" quotePrefix="0" xfId="0">
      <alignment horizontal="center" vertical="center"/>
    </xf>
    <xf numFmtId="165" fontId="13" fillId="3" borderId="12" applyAlignment="1" pivotButton="0" quotePrefix="0" xfId="0">
      <alignment horizontal="center" vertical="center"/>
    </xf>
    <xf numFmtId="0" fontId="13" fillId="3" borderId="8" applyAlignment="1" applyProtection="1" pivotButton="0" quotePrefix="0" xfId="0">
      <alignment horizontal="left" vertical="top" wrapText="1"/>
      <protection locked="0" hidden="0"/>
    </xf>
    <xf numFmtId="0" fontId="8" fillId="3" borderId="8" applyAlignment="1" applyProtection="1" pivotButton="0" quotePrefix="0" xfId="0">
      <alignment vertical="top" wrapText="1"/>
      <protection locked="0" hidden="0"/>
    </xf>
    <xf numFmtId="0" fontId="20" fillId="3" borderId="5" applyAlignment="1" pivotButton="0" quotePrefix="0" xfId="0">
      <alignment horizontal="center" vertical="center" wrapText="1"/>
    </xf>
    <xf numFmtId="0" fontId="24" fillId="2" borderId="4" applyAlignment="1" pivotButton="0" quotePrefix="0" xfId="0">
      <alignment horizontal="centerContinuous" vertical="center" wrapText="1"/>
    </xf>
    <xf numFmtId="0" fontId="25" fillId="3" borderId="4" applyAlignment="1" pivotButton="0" quotePrefix="0" xfId="0">
      <alignment horizontal="centerContinuous" vertical="center" wrapText="1"/>
    </xf>
    <xf numFmtId="0" fontId="25" fillId="3" borderId="3" applyAlignment="1" pivotButton="0" quotePrefix="0" xfId="0">
      <alignment horizontal="centerContinuous" vertical="center" wrapText="1"/>
    </xf>
    <xf numFmtId="165" fontId="13" fillId="2" borderId="5" applyAlignment="1" pivotButton="0" quotePrefix="0" xfId="0">
      <alignment horizontal="center" vertical="center"/>
    </xf>
    <xf numFmtId="0" fontId="8" fillId="3" borderId="8" applyAlignment="1" applyProtection="1" pivotButton="0" quotePrefix="0" xfId="0">
      <alignment horizontal="centerContinuous" vertical="top" wrapText="1"/>
      <protection locked="0" hidden="0"/>
    </xf>
    <xf numFmtId="0" fontId="20" fillId="3" borderId="28" applyAlignment="1" pivotButton="0" quotePrefix="0" xfId="0">
      <alignment horizontal="center" vertical="center" wrapText="1"/>
    </xf>
    <xf numFmtId="165" fontId="13" fillId="2" borderId="12" applyAlignment="1" pivotButton="0" quotePrefix="0" xfId="0">
      <alignment horizontal="center" vertical="center"/>
    </xf>
    <xf numFmtId="0" fontId="20" fillId="3" borderId="29" applyAlignment="1" pivotButton="0" quotePrefix="0" xfId="0">
      <alignment vertical="center" wrapText="1"/>
    </xf>
    <xf numFmtId="0" fontId="13" fillId="3" borderId="30" applyAlignment="1" pivotButton="0" quotePrefix="0" xfId="0">
      <alignment vertical="center" wrapText="1"/>
    </xf>
    <xf numFmtId="0" fontId="13" fillId="3" borderId="0" applyAlignment="1" pivotButton="0" quotePrefix="0" xfId="0">
      <alignment vertical="center" wrapText="1"/>
    </xf>
    <xf numFmtId="0" fontId="13" fillId="3" borderId="34" applyAlignment="1" pivotButton="0" quotePrefix="0" xfId="0">
      <alignment vertical="center" wrapText="1"/>
    </xf>
    <xf numFmtId="0" fontId="20" fillId="3" borderId="30" applyAlignment="1" pivotButton="0" quotePrefix="0" xfId="0">
      <alignment horizontal="center" vertical="center" wrapText="1"/>
    </xf>
    <xf numFmtId="165" fontId="13" fillId="2" borderId="31" applyAlignment="1" pivotButton="0" quotePrefix="0" xfId="0">
      <alignment horizontal="center" vertical="center"/>
    </xf>
    <xf numFmtId="0" fontId="22" fillId="2" borderId="1" applyAlignment="1" pivotButton="0" quotePrefix="0" xfId="0">
      <alignment horizontal="centerContinuous" vertical="center" wrapText="1"/>
    </xf>
    <xf numFmtId="0" fontId="13" fillId="3" borderId="5" applyAlignment="1" pivotButton="0" quotePrefix="0" xfId="0">
      <alignment horizontal="center" vertical="center" wrapText="1"/>
    </xf>
    <xf numFmtId="0" fontId="24" fillId="2" borderId="25" applyAlignment="1" pivotButton="0" quotePrefix="0" xfId="0">
      <alignment horizontal="centerContinuous" vertical="center" wrapText="1"/>
    </xf>
    <xf numFmtId="0" fontId="25" fillId="3" borderId="25" applyAlignment="1" pivotButton="0" quotePrefix="0" xfId="0">
      <alignment horizontal="centerContinuous" vertical="center" wrapText="1"/>
    </xf>
    <xf numFmtId="0" fontId="25" fillId="3" borderId="26" applyAlignment="1" pivotButton="0" quotePrefix="0" xfId="0">
      <alignment horizontal="centerContinuous" vertical="center" wrapText="1"/>
    </xf>
    <xf numFmtId="165" fontId="13" fillId="2" borderId="29" applyAlignment="1" pivotButton="0" quotePrefix="0" xfId="0">
      <alignment horizontal="center" vertical="center"/>
    </xf>
    <xf numFmtId="0" fontId="20" fillId="3" borderId="28" applyAlignment="1" pivotButton="0" quotePrefix="0" xfId="0">
      <alignment vertical="center" wrapText="1"/>
    </xf>
    <xf numFmtId="0" fontId="22" fillId="3" borderId="8" applyAlignment="1" applyProtection="1" pivotButton="0" quotePrefix="0" xfId="0">
      <alignment horizontal="left" vertical="top" wrapText="1"/>
      <protection locked="0" hidden="0"/>
    </xf>
    <xf numFmtId="165" fontId="13" fillId="3" borderId="31" applyAlignment="1" pivotButton="0" quotePrefix="0" xfId="0">
      <alignment horizontal="center" vertical="center"/>
    </xf>
    <xf numFmtId="0" fontId="22" fillId="2" borderId="15" applyAlignment="1" pivotButton="0" quotePrefix="0" xfId="0">
      <alignment horizontal="center" vertical="center" wrapText="1"/>
    </xf>
    <xf numFmtId="0" fontId="22" fillId="2" borderId="15" applyAlignment="1" pivotButton="0" quotePrefix="0" xfId="0">
      <alignment horizontal="center" vertical="center"/>
    </xf>
    <xf numFmtId="165" fontId="22" fillId="2" borderId="16" applyAlignment="1" pivotButton="0" quotePrefix="0" xfId="0">
      <alignment horizontal="center" vertical="center"/>
    </xf>
    <xf numFmtId="0" fontId="13" fillId="3" borderId="0" applyAlignment="1" pivotButton="0" quotePrefix="0" xfId="0">
      <alignment horizontal="center" vertical="center" wrapText="1"/>
    </xf>
    <xf numFmtId="0" fontId="13" fillId="0" borderId="5" applyAlignment="1" pivotButton="0" quotePrefix="0" xfId="0">
      <alignment horizontal="center" vertical="center" wrapText="1"/>
    </xf>
    <xf numFmtId="0" fontId="8" fillId="3" borderId="7" applyAlignment="1" applyProtection="1" pivotButton="0" quotePrefix="0" xfId="0">
      <alignment vertical="center" wrapText="1"/>
      <protection locked="0" hidden="0"/>
    </xf>
    <xf numFmtId="0" fontId="8" fillId="3" borderId="32" applyAlignment="1" applyProtection="1" pivotButton="0" quotePrefix="0" xfId="0">
      <alignment vertical="center" wrapText="1"/>
      <protection locked="0" hidden="0"/>
    </xf>
    <xf numFmtId="0" fontId="21" fillId="3" borderId="12" applyAlignment="1" pivotButton="0" quotePrefix="0" xfId="0">
      <alignment horizontal="center" vertical="center" wrapText="1"/>
    </xf>
    <xf numFmtId="165" fontId="8" fillId="3" borderId="14" applyAlignment="1" pivotButton="0" quotePrefix="0" xfId="0">
      <alignment horizontal="center" vertical="center"/>
    </xf>
    <xf numFmtId="165" fontId="8" fillId="3" borderId="16" applyAlignment="1" pivotButton="0" quotePrefix="0" xfId="0">
      <alignment horizontal="center" vertical="center"/>
    </xf>
    <xf numFmtId="0" fontId="8" fillId="3" borderId="30" applyAlignment="1" applyProtection="1" pivotButton="0" quotePrefix="0" xfId="0">
      <alignment vertical="center" wrapText="1"/>
      <protection locked="0" hidden="0"/>
    </xf>
    <xf numFmtId="0" fontId="8" fillId="3" borderId="34" applyAlignment="1" applyProtection="1" pivotButton="0" quotePrefix="0" xfId="0">
      <alignment vertical="center" wrapText="1"/>
      <protection locked="0" hidden="0"/>
    </xf>
    <xf numFmtId="0" fontId="13" fillId="3" borderId="13" applyAlignment="1" pivotButton="0" quotePrefix="0" xfId="0">
      <alignment horizontal="centerContinuous" vertical="center" wrapText="1"/>
    </xf>
    <xf numFmtId="165" fontId="8" fillId="3" borderId="23" applyAlignment="1" pivotButton="0" quotePrefix="0" xfId="0">
      <alignment horizontal="center" vertical="center" wrapText="1"/>
    </xf>
    <xf numFmtId="165" fontId="8" fillId="3" borderId="2" applyAlignment="1" pivotButton="0" quotePrefix="0" xfId="0">
      <alignment horizontal="center" vertical="center"/>
    </xf>
    <xf numFmtId="165" fontId="8" fillId="3" borderId="9" applyAlignment="1" pivotButton="0" quotePrefix="0" xfId="0">
      <alignment horizontal="center" vertical="center"/>
    </xf>
    <xf numFmtId="0" fontId="13" fillId="3" borderId="31" applyAlignment="1" pivotButton="0" quotePrefix="0" xfId="0">
      <alignment horizontal="centerContinuous" vertical="center" wrapText="1"/>
    </xf>
    <xf numFmtId="165" fontId="8" fillId="3" borderId="24" applyAlignment="1" pivotButton="0" quotePrefix="0" xfId="0">
      <alignment horizontal="center" vertical="center" wrapText="1"/>
    </xf>
    <xf numFmtId="165" fontId="8" fillId="3" borderId="18" applyAlignment="1" pivotButton="0" quotePrefix="0" xfId="0">
      <alignment horizontal="center" vertical="center"/>
    </xf>
    <xf numFmtId="165" fontId="8" fillId="3" borderId="19" applyAlignment="1" pivotButton="0" quotePrefix="0" xfId="0">
      <alignment horizontal="center" vertical="center"/>
    </xf>
    <xf numFmtId="0" fontId="8" fillId="3" borderId="1" applyAlignment="1" applyProtection="1" pivotButton="0" quotePrefix="0" xfId="0">
      <alignment horizontal="centerContinuous" vertical="center" wrapText="1"/>
      <protection locked="0" hidden="0"/>
    </xf>
    <xf numFmtId="0" fontId="13" fillId="3" borderId="29" applyAlignment="1" pivotButton="0" quotePrefix="0" xfId="0">
      <alignment horizontal="center" vertical="center" wrapText="1"/>
    </xf>
    <xf numFmtId="165" fontId="8" fillId="3" borderId="17" applyAlignment="1" pivotButton="0" quotePrefix="0" xfId="0">
      <alignment horizontal="center" vertical="center" wrapText="1"/>
    </xf>
    <xf numFmtId="165" fontId="8" fillId="3" borderId="17" applyAlignment="1" pivotButton="0" quotePrefix="0" xfId="0">
      <alignment horizontal="center" vertical="center"/>
    </xf>
    <xf numFmtId="0" fontId="8" fillId="3" borderId="33" applyAlignment="1" applyProtection="1" pivotButton="0" quotePrefix="0" xfId="0">
      <alignment vertical="center" wrapText="1"/>
      <protection locked="0" hidden="0"/>
    </xf>
    <xf numFmtId="0" fontId="8" fillId="3" borderId="26" applyAlignment="1" applyProtection="1" pivotButton="0" quotePrefix="0" xfId="0">
      <alignment vertical="center" wrapText="1"/>
      <protection locked="0" hidden="0"/>
    </xf>
    <xf numFmtId="165" fontId="8" fillId="3" borderId="15" applyAlignment="1" pivotButton="0" quotePrefix="0" xfId="0">
      <alignment horizontal="center" vertical="center"/>
    </xf>
    <xf numFmtId="165" fontId="8" fillId="3" borderId="20" applyAlignment="1" pivotButton="0" quotePrefix="0" xfId="0">
      <alignment horizontal="center" vertical="center"/>
    </xf>
    <xf numFmtId="165" fontId="8" fillId="3" borderId="21" applyAlignment="1" pivotButton="0" quotePrefix="0" xfId="0">
      <alignment horizontal="center" vertical="center"/>
    </xf>
    <xf numFmtId="165" fontId="13" fillId="0" borderId="5" applyAlignment="1" pivotButton="0" quotePrefix="0" xfId="0">
      <alignment horizontal="center" vertical="center"/>
    </xf>
    <xf numFmtId="0" fontId="13" fillId="3" borderId="1" applyAlignment="1" pivotButton="0" quotePrefix="0" xfId="0">
      <alignment horizontal="left" vertical="center" wrapText="1"/>
    </xf>
    <xf numFmtId="165" fontId="8" fillId="2" borderId="5" applyAlignment="1" pivotButton="0" quotePrefix="0" xfId="0">
      <alignment horizontal="center" vertical="center" wrapText="1"/>
    </xf>
    <xf numFmtId="10" fontId="8" fillId="2" borderId="5" applyAlignment="1" pivotButton="0" quotePrefix="0" xfId="0">
      <alignment horizontal="center" vertical="center" wrapText="1"/>
    </xf>
    <xf numFmtId="0" fontId="13" fillId="3" borderId="12" applyAlignment="1" pivotButton="0" quotePrefix="0" xfId="0">
      <alignment horizontal="centerContinuous" vertical="center" wrapText="1"/>
    </xf>
    <xf numFmtId="165" fontId="8" fillId="3" borderId="12" applyAlignment="1" pivotButton="0" quotePrefix="0" xfId="1">
      <alignment horizontal="center" vertical="center" wrapText="1"/>
    </xf>
    <xf numFmtId="0" fontId="13" fillId="3" borderId="27" applyAlignment="1" pivotButton="0" quotePrefix="0" xfId="0">
      <alignment horizontal="centerContinuous" vertical="center" wrapText="1"/>
    </xf>
    <xf numFmtId="165" fontId="8" fillId="3" borderId="27" applyAlignment="1" pivotButton="0" quotePrefix="0" xfId="1">
      <alignment horizontal="center" vertical="center" wrapText="1"/>
    </xf>
    <xf numFmtId="165" fontId="13" fillId="3" borderId="5" applyAlignment="1" pivotButton="0" quotePrefix="0" xfId="0">
      <alignment horizontal="center" wrapText="1"/>
    </xf>
    <xf numFmtId="166" fontId="13" fillId="3" borderId="5" applyAlignment="1" pivotButton="0" quotePrefix="0" xfId="0">
      <alignment horizontal="center" vertical="center" wrapText="1"/>
    </xf>
    <xf numFmtId="165" fontId="13" fillId="3" borderId="3" applyAlignment="1" applyProtection="1" pivotButton="0" quotePrefix="0" xfId="0">
      <alignment horizontal="center" vertical="center" wrapText="1"/>
      <protection locked="0" hidden="0"/>
    </xf>
    <xf numFmtId="0" fontId="28" fillId="7" borderId="0" pivotButton="0" quotePrefix="0" xfId="0"/>
    <xf numFmtId="0" fontId="29" fillId="7" borderId="0" pivotButton="0" quotePrefix="0" xfId="0"/>
    <xf numFmtId="0" fontId="28" fillId="7" borderId="0" applyAlignment="1" pivotButton="0" quotePrefix="0" xfId="0">
      <alignment wrapText="1"/>
    </xf>
    <xf numFmtId="0" fontId="19" fillId="3" borderId="1" applyAlignment="1" pivotButton="0" quotePrefix="0" xfId="0">
      <alignment horizontal="center" vertical="center" wrapText="1"/>
    </xf>
    <xf numFmtId="0" fontId="19" fillId="3" borderId="3" applyAlignment="1" pivotButton="0" quotePrefix="0" xfId="0">
      <alignment horizontal="center" vertical="center" wrapText="1"/>
    </xf>
    <xf numFmtId="0" fontId="21" fillId="3" borderId="37" applyAlignment="1" pivotButton="0" quotePrefix="0" xfId="0">
      <alignment horizontal="center" vertical="center" wrapText="1"/>
    </xf>
    <xf numFmtId="165" fontId="13" fillId="3" borderId="38" applyAlignment="1" pivotButton="0" quotePrefix="0" xfId="0">
      <alignment horizontal="center" vertical="center"/>
    </xf>
    <xf numFmtId="0" fontId="22" fillId="2" borderId="8" applyAlignment="1" pivotButton="0" quotePrefix="0" xfId="0">
      <alignment horizontal="center" vertical="center" wrapText="1"/>
    </xf>
    <xf numFmtId="165" fontId="22" fillId="2" borderId="0" applyAlignment="1" pivotButton="0" quotePrefix="0" xfId="0">
      <alignment horizontal="center" vertical="center"/>
    </xf>
    <xf numFmtId="0" fontId="22" fillId="2" borderId="8" applyAlignment="1" pivotButton="0" quotePrefix="0" xfId="0">
      <alignment horizontal="center" vertical="center"/>
    </xf>
    <xf numFmtId="0" fontId="22" fillId="2" borderId="13" applyAlignment="1" pivotButton="0" quotePrefix="0" xfId="0">
      <alignment horizontal="center" vertical="center"/>
    </xf>
    <xf numFmtId="0" fontId="22" fillId="2" borderId="12" applyAlignment="1" pivotButton="0" quotePrefix="0" xfId="0">
      <alignment horizontal="center" vertical="center"/>
    </xf>
    <xf numFmtId="0" fontId="22" fillId="2" borderId="27" applyAlignment="1" pivotButton="0" quotePrefix="0" xfId="0">
      <alignment horizontal="centerContinuous" vertical="center" wrapText="1"/>
    </xf>
    <xf numFmtId="9" fontId="22" fillId="2" borderId="40" applyAlignment="1" pivotButton="0" quotePrefix="0" xfId="2">
      <alignment horizontal="center" vertical="center"/>
    </xf>
    <xf numFmtId="9" fontId="22" fillId="2" borderId="38" applyAlignment="1" pivotButton="0" quotePrefix="0" xfId="2">
      <alignment horizontal="center" vertical="center"/>
    </xf>
    <xf numFmtId="9" fontId="22" fillId="2" borderId="39" applyAlignment="1" pivotButton="0" quotePrefix="0" xfId="2">
      <alignment horizontal="center" vertical="center" wrapText="1"/>
    </xf>
    <xf numFmtId="0" fontId="22" fillId="2" borderId="41" applyAlignment="1" pivotButton="0" quotePrefix="0" xfId="0">
      <alignment horizontal="center" vertical="center" wrapText="1"/>
    </xf>
    <xf numFmtId="0" fontId="22" fillId="2" borderId="10" applyAlignment="1" pivotButton="0" quotePrefix="0" xfId="0">
      <alignment horizontal="center" vertical="center" wrapText="1"/>
    </xf>
    <xf numFmtId="0" fontId="22" fillId="2" borderId="42" applyAlignment="1" pivotButton="0" quotePrefix="0" xfId="0">
      <alignment horizontal="center" vertical="center" wrapText="1"/>
    </xf>
    <xf numFmtId="0" fontId="30" fillId="3" borderId="0" applyAlignment="1" pivotButton="0" quotePrefix="0" xfId="0">
      <alignment horizontal="right" vertical="center" wrapText="1"/>
    </xf>
    <xf numFmtId="0" fontId="30" fillId="3" borderId="0" applyAlignment="1" pivotButton="0" quotePrefix="0" xfId="0">
      <alignment horizontal="right" wrapText="1"/>
    </xf>
    <xf numFmtId="0" fontId="31" fillId="3" borderId="0" applyAlignment="1" pivotButton="0" quotePrefix="0" xfId="0">
      <alignment horizontal="right" vertical="center" wrapText="1"/>
    </xf>
    <xf numFmtId="165" fontId="21" fillId="3" borderId="0" applyAlignment="1" pivotButton="0" quotePrefix="0" xfId="0">
      <alignment vertical="center"/>
    </xf>
    <xf numFmtId="165" fontId="32" fillId="3" borderId="0" applyAlignment="1" pivotButton="0" quotePrefix="0" xfId="0">
      <alignment vertical="center"/>
    </xf>
    <xf numFmtId="2" fontId="31" fillId="3" borderId="0" applyAlignment="1" pivotButton="0" quotePrefix="0" xfId="0">
      <alignment horizontal="right" vertical="center" wrapText="1"/>
    </xf>
    <xf numFmtId="0" fontId="21" fillId="2" borderId="12" applyAlignment="1" pivotButton="0" quotePrefix="0" xfId="0">
      <alignment horizontal="center" vertical="center" wrapText="1"/>
    </xf>
    <xf numFmtId="0" fontId="21" fillId="2" borderId="13" applyAlignment="1" pivotButton="0" quotePrefix="0" xfId="0">
      <alignment horizontal="center" vertical="center" wrapText="1"/>
    </xf>
    <xf numFmtId="0" fontId="21" fillId="2" borderId="27" applyAlignment="1" pivotButton="0" quotePrefix="0" xfId="0">
      <alignment horizontal="center" vertical="center" wrapText="1"/>
    </xf>
    <xf numFmtId="165" fontId="13" fillId="3" borderId="5" applyAlignment="1" pivotButton="0" quotePrefix="0" xfId="0">
      <alignment horizontal="center" vertical="center"/>
    </xf>
    <xf numFmtId="165" fontId="13" fillId="3" borderId="29" applyAlignment="1" pivotButton="0" quotePrefix="0" xfId="0">
      <alignment horizontal="center" vertical="center"/>
    </xf>
    <xf numFmtId="0" fontId="21" fillId="2" borderId="5" applyAlignment="1" pivotButton="0" quotePrefix="0" xfId="0">
      <alignment horizontal="center" vertical="center" wrapText="1"/>
    </xf>
    <xf numFmtId="0" fontId="13" fillId="2" borderId="5" applyAlignment="1" pivotButton="0" quotePrefix="0" xfId="0">
      <alignment horizontal="center" vertical="center" wrapText="1"/>
    </xf>
    <xf numFmtId="0" fontId="13" fillId="2" borderId="30" applyAlignment="1" pivotButton="0" quotePrefix="0" xfId="0">
      <alignment vertical="center" wrapText="1"/>
    </xf>
    <xf numFmtId="0" fontId="21" fillId="2" borderId="29" applyAlignment="1" pivotButton="0" quotePrefix="0" xfId="0">
      <alignment horizontal="center" vertical="center" wrapText="1"/>
    </xf>
    <xf numFmtId="0" fontId="13" fillId="2" borderId="30" applyAlignment="1" pivotButton="0" quotePrefix="0" xfId="0">
      <alignment horizontal="center" vertical="center" wrapText="1"/>
    </xf>
    <xf numFmtId="0" fontId="13" fillId="2" borderId="29" applyAlignment="1" pivotButton="0" quotePrefix="0" xfId="0">
      <alignment horizontal="center" vertical="center" wrapText="1"/>
    </xf>
    <xf numFmtId="0" fontId="21" fillId="2" borderId="35" applyAlignment="1" pivotButton="0" quotePrefix="0" xfId="0">
      <alignment horizontal="center" vertical="center" wrapText="1"/>
    </xf>
    <xf numFmtId="0" fontId="13" fillId="2" borderId="35" applyAlignment="1" pivotButton="0" quotePrefix="0" xfId="0">
      <alignment horizontal="center" vertical="center" wrapText="1"/>
    </xf>
    <xf numFmtId="0" fontId="13" fillId="3" borderId="4" applyAlignment="1" pivotButton="0" quotePrefix="0" xfId="0">
      <alignment horizontal="centerContinuous" vertical="center" wrapText="1"/>
    </xf>
    <xf numFmtId="0" fontId="13" fillId="3" borderId="3" applyAlignment="1" pivotButton="0" quotePrefix="0" xfId="0">
      <alignment horizontal="centerContinuous" vertical="center" wrapText="1"/>
    </xf>
    <xf numFmtId="165" fontId="8" fillId="3" borderId="4" applyAlignment="1" pivotButton="0" quotePrefix="0" xfId="0">
      <alignment horizontal="center" vertical="top" wrapText="1"/>
    </xf>
    <xf numFmtId="0" fontId="16" fillId="3" borderId="6" applyAlignment="1" pivotButton="0" quotePrefix="0" xfId="0">
      <alignment horizontal="center" vertical="center" wrapText="1"/>
    </xf>
    <xf numFmtId="0" fontId="16" fillId="3" borderId="1" applyAlignment="1" pivotButton="0" quotePrefix="0" xfId="0">
      <alignment horizontal="center" vertical="center" wrapText="1"/>
    </xf>
    <xf numFmtId="0" fontId="10" fillId="3" borderId="8" applyAlignment="1" applyProtection="1" pivotButton="0" quotePrefix="0" xfId="0">
      <alignment horizontal="left" wrapText="1"/>
      <protection locked="0" hidden="0"/>
    </xf>
    <xf numFmtId="0" fontId="10" fillId="3" borderId="8" applyAlignment="1" applyProtection="1" pivotButton="0" quotePrefix="0" xfId="0">
      <alignment horizontal="left" vertical="top" wrapText="1"/>
      <protection locked="0" hidden="0"/>
    </xf>
    <xf numFmtId="0" fontId="28" fillId="0" borderId="0" applyAlignment="1" pivotButton="0" quotePrefix="0" xfId="0">
      <alignment wrapText="1"/>
    </xf>
    <xf numFmtId="0" fontId="0" fillId="3" borderId="0" pivotButton="0" quotePrefix="0" xfId="0"/>
    <xf numFmtId="0" fontId="29" fillId="0" borderId="20" applyAlignment="1" pivotButton="0" quotePrefix="0" xfId="0">
      <alignment vertical="center"/>
    </xf>
    <xf numFmtId="167" fontId="29" fillId="0" borderId="20" applyAlignment="1" pivotButton="0" quotePrefix="0" xfId="3">
      <alignment vertical="center"/>
    </xf>
    <xf numFmtId="167" fontId="29" fillId="0" borderId="20" applyAlignment="1" pivotButton="0" quotePrefix="0" xfId="3">
      <alignment horizontal="center" vertical="center"/>
    </xf>
    <xf numFmtId="0" fontId="8" fillId="3" borderId="1" applyAlignment="1" pivotButton="0" quotePrefix="0" xfId="0">
      <alignment horizontal="center" vertical="center" wrapText="1"/>
    </xf>
    <xf numFmtId="0" fontId="8" fillId="3" borderId="5" applyAlignment="1" pivotButton="0" quotePrefix="0" xfId="0">
      <alignment horizontal="center" vertical="center" wrapText="1"/>
    </xf>
    <xf numFmtId="0" fontId="8" fillId="2" borderId="5" applyAlignment="1" pivotButton="0" quotePrefix="0" xfId="0">
      <alignment horizontal="left" vertical="center" wrapText="1"/>
    </xf>
    <xf numFmtId="0" fontId="8" fillId="3" borderId="3" applyAlignment="1" pivotButton="0" quotePrefix="0" xfId="0">
      <alignment horizontal="centerContinuous" vertical="center" wrapText="1"/>
    </xf>
    <xf numFmtId="0" fontId="22" fillId="3" borderId="8" applyAlignment="1" applyProtection="1" pivotButton="0" quotePrefix="0" xfId="0">
      <alignment horizontal="left" vertical="top" wrapText="1"/>
      <protection locked="0" hidden="0"/>
    </xf>
    <xf numFmtId="0" fontId="22" fillId="3" borderId="29" applyAlignment="1" applyProtection="1" pivotButton="0" quotePrefix="0" xfId="0">
      <alignment horizontal="left" vertical="top" wrapText="1"/>
      <protection locked="0" hidden="0"/>
    </xf>
    <xf numFmtId="0" fontId="20" fillId="3" borderId="7" applyAlignment="1" pivotButton="0" quotePrefix="0" xfId="0">
      <alignment horizontal="center" vertical="center" wrapText="1"/>
    </xf>
    <xf numFmtId="0" fontId="20" fillId="3" borderId="30" applyAlignment="1" pivotButton="0" quotePrefix="0" xfId="0">
      <alignment horizontal="center" vertical="center" wrapText="1"/>
    </xf>
    <xf numFmtId="0" fontId="20" fillId="3" borderId="33" applyAlignment="1" pivotButton="0" quotePrefix="0" xfId="0">
      <alignment horizontal="center" vertical="center" wrapText="1"/>
    </xf>
    <xf numFmtId="0" fontId="20" fillId="3" borderId="28" applyAlignment="1" pivotButton="0" quotePrefix="0" xfId="0">
      <alignment horizontal="center" vertical="center" wrapText="1"/>
    </xf>
    <xf numFmtId="0" fontId="20" fillId="3" borderId="8" applyAlignment="1" pivotButton="0" quotePrefix="0" xfId="0">
      <alignment horizontal="center" vertical="center" wrapText="1"/>
    </xf>
    <xf numFmtId="0" fontId="20" fillId="3" borderId="29" applyAlignment="1" pivotButton="0" quotePrefix="0" xfId="0">
      <alignment horizontal="center" vertical="center" wrapText="1"/>
    </xf>
    <xf numFmtId="0" fontId="10" fillId="5" borderId="1" applyAlignment="1" pivotButton="0" quotePrefix="0" xfId="0">
      <alignment horizontal="left" vertical="center" wrapText="1"/>
    </xf>
    <xf numFmtId="0" fontId="10" fillId="5" borderId="4" applyAlignment="1" pivotButton="0" quotePrefix="0" xfId="0">
      <alignment horizontal="left" vertical="center" wrapText="1"/>
    </xf>
    <xf numFmtId="0" fontId="10" fillId="5" borderId="3" applyAlignment="1" pivotButton="0" quotePrefix="0" xfId="0">
      <alignment horizontal="left" vertical="center" wrapText="1"/>
    </xf>
    <xf numFmtId="0" fontId="18" fillId="3" borderId="4" applyAlignment="1" pivotButton="0" quotePrefix="0" xfId="0">
      <alignment horizontal="center" vertical="center" wrapText="1"/>
    </xf>
    <xf numFmtId="0" fontId="18" fillId="3" borderId="3" applyAlignment="1" pivotButton="0" quotePrefix="0" xfId="0">
      <alignment horizontal="center" vertical="center" wrapText="1"/>
    </xf>
    <xf numFmtId="0" fontId="21" fillId="3" borderId="28" applyAlignment="1" pivotButton="0" quotePrefix="0" xfId="0">
      <alignment horizontal="left" wrapText="1"/>
    </xf>
    <xf numFmtId="0" fontId="21" fillId="3" borderId="29" applyAlignment="1" pivotButton="0" quotePrefix="0" xfId="0">
      <alignment horizontal="left" wrapText="1"/>
    </xf>
    <xf numFmtId="0" fontId="8" fillId="5" borderId="1" applyAlignment="1" pivotButton="0" quotePrefix="0" xfId="0">
      <alignment horizontal="center" wrapText="1"/>
    </xf>
    <xf numFmtId="0" fontId="8" fillId="5" borderId="4" applyAlignment="1" pivotButton="0" quotePrefix="0" xfId="0">
      <alignment horizontal="center" wrapText="1"/>
    </xf>
    <xf numFmtId="0" fontId="8" fillId="5" borderId="3" applyAlignment="1" pivotButton="0" quotePrefix="0" xfId="0">
      <alignment horizontal="center" wrapText="1"/>
    </xf>
    <xf numFmtId="0" fontId="8" fillId="5" borderId="1" applyAlignment="1" pivotButton="0" quotePrefix="0" xfId="0">
      <alignment horizontal="center"/>
    </xf>
    <xf numFmtId="0" fontId="8" fillId="5" borderId="4" applyAlignment="1" pivotButton="0" quotePrefix="0" xfId="0">
      <alignment horizontal="center"/>
    </xf>
    <xf numFmtId="0" fontId="8" fillId="5" borderId="3" applyAlignment="1" pivotButton="0" quotePrefix="0" xfId="0">
      <alignment horizontal="center"/>
    </xf>
    <xf numFmtId="0" fontId="17" fillId="3" borderId="1" applyAlignment="1" applyProtection="1" pivotButton="0" quotePrefix="0" xfId="0">
      <alignment horizontal="center" vertical="center" wrapText="1"/>
      <protection locked="0" hidden="0"/>
    </xf>
    <xf numFmtId="0" fontId="17" fillId="3" borderId="3" applyAlignment="1" applyProtection="1" pivotButton="0" quotePrefix="0" xfId="0">
      <alignment horizontal="center" vertical="center" wrapText="1"/>
      <protection locked="0" hidden="0"/>
    </xf>
    <xf numFmtId="0" fontId="17" fillId="0" borderId="1" applyAlignment="1" applyProtection="1" pivotButton="0" quotePrefix="0" xfId="0">
      <alignment horizontal="center" vertical="center" wrapText="1"/>
      <protection locked="0" hidden="0"/>
    </xf>
    <xf numFmtId="0" fontId="17" fillId="0" borderId="3" applyAlignment="1" applyProtection="1" pivotButton="0" quotePrefix="0" xfId="0">
      <alignment horizontal="center" vertical="center" wrapText="1"/>
      <protection locked="0" hidden="0"/>
    </xf>
    <xf numFmtId="0" fontId="17" fillId="0" borderId="1" applyAlignment="1" pivotButton="0" quotePrefix="0" xfId="0">
      <alignment horizontal="center" vertical="center" wrapText="1"/>
    </xf>
    <xf numFmtId="0" fontId="17" fillId="0" borderId="3" applyAlignment="1" pivotButton="0" quotePrefix="0" xfId="0">
      <alignment horizontal="center" vertical="center" wrapText="1"/>
    </xf>
    <xf numFmtId="0" fontId="10" fillId="5" borderId="1" applyAlignment="1" pivotButton="0" quotePrefix="0" xfId="0">
      <alignment horizontal="center" vertical="top" wrapText="1"/>
    </xf>
    <xf numFmtId="0" fontId="10" fillId="5" borderId="4" applyAlignment="1" pivotButton="0" quotePrefix="0" xfId="0">
      <alignment horizontal="center" vertical="top" wrapText="1"/>
    </xf>
    <xf numFmtId="0" fontId="11" fillId="6" borderId="1" applyAlignment="1" pivotButton="0" quotePrefix="0" xfId="0">
      <alignment horizontal="center" vertical="top" wrapText="1"/>
    </xf>
    <xf numFmtId="0" fontId="11" fillId="6" borderId="3" applyAlignment="1" pivotButton="0" quotePrefix="0" xfId="0">
      <alignment horizontal="center" vertical="top" wrapText="1"/>
    </xf>
    <xf numFmtId="0" fontId="8" fillId="2" borderId="1" applyAlignment="1" pivotButton="0" quotePrefix="0" xfId="0">
      <alignment horizontal="center" wrapText="1"/>
    </xf>
    <xf numFmtId="0" fontId="8" fillId="2" borderId="4" applyAlignment="1" pivotButton="0" quotePrefix="0" xfId="0">
      <alignment horizontal="center" wrapText="1"/>
    </xf>
    <xf numFmtId="0" fontId="8" fillId="2" borderId="3" applyAlignment="1" pivotButton="0" quotePrefix="0" xfId="0">
      <alignment horizontal="center" wrapText="1"/>
    </xf>
    <xf numFmtId="0" fontId="8" fillId="3" borderId="28" applyAlignment="1" pivotButton="0" quotePrefix="0" xfId="0">
      <alignment horizontal="center" vertical="center" wrapText="1"/>
    </xf>
    <xf numFmtId="0" fontId="8" fillId="3" borderId="29" applyAlignment="1" pivotButton="0" quotePrefix="0" xfId="0">
      <alignment horizontal="center" vertical="center" wrapText="1"/>
    </xf>
    <xf numFmtId="0" fontId="22" fillId="2" borderId="1" applyAlignment="1" pivotButton="0" quotePrefix="0" xfId="0">
      <alignment horizontal="left" vertical="center" wrapText="1"/>
    </xf>
    <xf numFmtId="0" fontId="22" fillId="2" borderId="4" applyAlignment="1" pivotButton="0" quotePrefix="0" xfId="0">
      <alignment horizontal="left" vertical="center" wrapText="1"/>
    </xf>
    <xf numFmtId="0" fontId="22" fillId="2" borderId="3" applyAlignment="1" pivotButton="0" quotePrefix="0" xfId="0">
      <alignment horizontal="left" vertical="center" wrapText="1"/>
    </xf>
    <xf numFmtId="0" fontId="15" fillId="2" borderId="1" applyAlignment="1" pivotButton="0" quotePrefix="0" xfId="0">
      <alignment horizontal="left" wrapText="1"/>
    </xf>
    <xf numFmtId="0" fontId="8" fillId="2" borderId="4" applyAlignment="1" pivotButton="0" quotePrefix="0" xfId="0">
      <alignment horizontal="left" wrapText="1"/>
    </xf>
    <xf numFmtId="0" fontId="8" fillId="2" borderId="3" applyAlignment="1" pivotButton="0" quotePrefix="0" xfId="0">
      <alignment horizontal="left" wrapText="1"/>
    </xf>
    <xf numFmtId="0" fontId="8" fillId="3" borderId="7" applyAlignment="1" applyProtection="1" pivotButton="0" quotePrefix="0" xfId="0">
      <alignment horizontal="center" vertical="center" wrapText="1"/>
      <protection locked="0" hidden="0"/>
    </xf>
    <xf numFmtId="0" fontId="8" fillId="3" borderId="6" applyAlignment="1" applyProtection="1" pivotButton="0" quotePrefix="0" xfId="0">
      <alignment horizontal="center" vertical="center" wrapText="1"/>
      <protection locked="0" hidden="0"/>
    </xf>
    <xf numFmtId="0" fontId="8" fillId="3" borderId="30" applyAlignment="1" applyProtection="1" pivotButton="0" quotePrefix="0" xfId="0">
      <alignment horizontal="center" vertical="center" wrapText="1"/>
      <protection locked="0" hidden="0"/>
    </xf>
    <xf numFmtId="0" fontId="8" fillId="3" borderId="0" applyAlignment="1" applyProtection="1" pivotButton="0" quotePrefix="0" xfId="0">
      <alignment horizontal="center" vertical="center" wrapText="1"/>
      <protection locked="0" hidden="0"/>
    </xf>
    <xf numFmtId="0" fontId="8" fillId="3" borderId="33" applyAlignment="1" applyProtection="1" pivotButton="0" quotePrefix="0" xfId="0">
      <alignment horizontal="center" vertical="center" wrapText="1"/>
      <protection locked="0" hidden="0"/>
    </xf>
    <xf numFmtId="0" fontId="8" fillId="3" borderId="25" applyAlignment="1" applyProtection="1" pivotButton="0" quotePrefix="0" xfId="0">
      <alignment horizontal="center" vertical="center" wrapText="1"/>
      <protection locked="0" hidden="0"/>
    </xf>
    <xf numFmtId="0" fontId="19" fillId="3" borderId="1" applyAlignment="1" applyProtection="1" pivotButton="0" quotePrefix="0" xfId="0">
      <alignment horizontal="center" vertical="center" wrapText="1"/>
      <protection locked="0" hidden="0"/>
    </xf>
    <xf numFmtId="0" fontId="19" fillId="3" borderId="4" applyAlignment="1" applyProtection="1" pivotButton="0" quotePrefix="0" xfId="0">
      <alignment horizontal="center" vertical="center" wrapText="1"/>
      <protection locked="0" hidden="0"/>
    </xf>
    <xf numFmtId="0" fontId="8" fillId="3" borderId="4" applyAlignment="1" pivotButton="0" quotePrefix="0" xfId="0">
      <alignment horizontal="left" vertical="center" wrapText="1"/>
    </xf>
    <xf numFmtId="0" fontId="8" fillId="3" borderId="3" applyAlignment="1" pivotButton="0" quotePrefix="0" xfId="0">
      <alignment horizontal="left" vertical="center" wrapText="1"/>
    </xf>
    <xf numFmtId="0" fontId="27" fillId="3" borderId="1" applyAlignment="1" pivotButton="0" quotePrefix="0" xfId="0">
      <alignment horizontal="right" vertical="center" wrapText="1"/>
    </xf>
    <xf numFmtId="0" fontId="27" fillId="3" borderId="4" applyAlignment="1" pivotButton="0" quotePrefix="0" xfId="0">
      <alignment horizontal="right" vertical="center" wrapText="1"/>
    </xf>
    <xf numFmtId="0" fontId="19" fillId="3" borderId="1" applyAlignment="1" pivotButton="0" quotePrefix="0" xfId="0">
      <alignment horizontal="right" vertical="center" wrapText="1"/>
    </xf>
    <xf numFmtId="0" fontId="19" fillId="3" borderId="4" applyAlignment="1" pivotButton="0" quotePrefix="0" xfId="0">
      <alignment horizontal="right" vertical="center" wrapText="1"/>
    </xf>
    <xf numFmtId="0" fontId="19" fillId="3" borderId="3" applyAlignment="1" pivotButton="0" quotePrefix="0" xfId="0">
      <alignment horizontal="right" vertical="center" wrapText="1"/>
    </xf>
    <xf numFmtId="0" fontId="13" fillId="3" borderId="4" applyAlignment="1" pivotButton="0" quotePrefix="0" xfId="0">
      <alignment horizontal="left" vertical="center" wrapText="1"/>
    </xf>
    <xf numFmtId="0" fontId="13" fillId="3" borderId="3" applyAlignment="1" pivotButton="0" quotePrefix="0" xfId="0">
      <alignment horizontal="left" vertical="center" wrapText="1"/>
    </xf>
    <xf numFmtId="0" fontId="8" fillId="3" borderId="1" applyAlignment="1" pivotButton="0" quotePrefix="0" xfId="0">
      <alignment horizontal="left" vertical="center" wrapText="1"/>
    </xf>
    <xf numFmtId="0" fontId="10" fillId="5" borderId="36" applyAlignment="1" applyProtection="1" pivotButton="0" quotePrefix="0" xfId="0">
      <alignment horizontal="left" vertical="center" wrapText="1"/>
      <protection locked="0" hidden="0"/>
    </xf>
    <xf numFmtId="0" fontId="10" fillId="5" borderId="25" applyAlignment="1" applyProtection="1" pivotButton="0" quotePrefix="0" xfId="0">
      <alignment horizontal="left" vertical="center" wrapText="1"/>
      <protection locked="0" hidden="0"/>
    </xf>
    <xf numFmtId="0" fontId="10" fillId="5" borderId="26" applyAlignment="1" applyProtection="1" pivotButton="0" quotePrefix="0" xfId="0">
      <alignment horizontal="left" vertical="center" wrapText="1"/>
      <protection locked="0" hidden="0"/>
    </xf>
    <xf numFmtId="0" fontId="8" fillId="3" borderId="32" applyAlignment="1" applyProtection="1" pivotButton="0" quotePrefix="0" xfId="0">
      <alignment horizontal="center" vertical="center" wrapText="1"/>
      <protection locked="0" hidden="0"/>
    </xf>
    <xf numFmtId="0" fontId="8" fillId="3" borderId="26" applyAlignment="1" applyProtection="1" pivotButton="0" quotePrefix="0" xfId="0">
      <alignment horizontal="center" vertical="center" wrapText="1"/>
      <protection locked="0" hidden="0"/>
    </xf>
    <xf numFmtId="0" fontId="8" fillId="3" borderId="8" applyAlignment="1" applyProtection="1" pivotButton="0" quotePrefix="0" xfId="0">
      <alignment horizontal="left" vertical="top" wrapText="1"/>
      <protection locked="0" hidden="0"/>
    </xf>
    <xf numFmtId="0" fontId="8" fillId="3" borderId="29" applyAlignment="1" applyProtection="1" pivotButton="0" quotePrefix="0" xfId="0">
      <alignment horizontal="left" vertical="top" wrapText="1"/>
      <protection locked="0" hidden="0"/>
    </xf>
    <xf numFmtId="0" fontId="8" fillId="5" borderId="5" applyAlignment="1" pivotButton="0" quotePrefix="0" xfId="0">
      <alignment horizontal="center"/>
    </xf>
    <xf numFmtId="0" fontId="0" fillId="0" borderId="4" pivotButton="0" quotePrefix="0" xfId="0"/>
    <xf numFmtId="0" fontId="0" fillId="0" borderId="3" pivotButton="0" quotePrefix="0" xfId="0"/>
    <xf numFmtId="0" fontId="8" fillId="5" borderId="5" applyAlignment="1" pivotButton="0" quotePrefix="0" xfId="0">
      <alignment horizontal="center" wrapText="1"/>
    </xf>
    <xf numFmtId="0" fontId="8" fillId="2" borderId="5" applyAlignment="1" pivotButton="0" quotePrefix="0" xfId="0">
      <alignment horizontal="center" wrapText="1"/>
    </xf>
    <xf numFmtId="0" fontId="11" fillId="6" borderId="5" applyAlignment="1" pivotButton="0" quotePrefix="0" xfId="0">
      <alignment horizontal="center" vertical="top" wrapText="1"/>
    </xf>
    <xf numFmtId="0" fontId="0" fillId="0" borderId="29" pivotButton="0" quotePrefix="0" xfId="0"/>
    <xf numFmtId="0" fontId="10" fillId="5" borderId="5" applyAlignment="1" pivotButton="0" quotePrefix="0" xfId="0">
      <alignment horizontal="left" vertical="center" wrapText="1"/>
    </xf>
    <xf numFmtId="0" fontId="10" fillId="5" borderId="43" applyAlignment="1" applyProtection="1" pivotButton="0" quotePrefix="0" xfId="0">
      <alignment horizontal="left" vertical="center" wrapText="1"/>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17" fillId="3" borderId="5" applyAlignment="1" applyProtection="1" pivotButton="0" quotePrefix="0" xfId="0">
      <alignment horizontal="center" vertical="center" wrapText="1"/>
      <protection locked="0" hidden="0"/>
    </xf>
    <xf numFmtId="0" fontId="0" fillId="0" borderId="3" applyProtection="1" pivotButton="0" quotePrefix="0" xfId="0">
      <protection locked="0" hidden="0"/>
    </xf>
    <xf numFmtId="0" fontId="17" fillId="0" borderId="5" applyAlignment="1" applyProtection="1" pivotButton="0" quotePrefix="0" xfId="0">
      <alignment horizontal="center" vertical="center" wrapText="1"/>
      <protection locked="0" hidden="0"/>
    </xf>
    <xf numFmtId="0" fontId="17" fillId="0" borderId="5" applyAlignment="1" pivotButton="0" quotePrefix="0" xfId="0">
      <alignment horizontal="center" vertical="center" wrapText="1"/>
    </xf>
    <xf numFmtId="0" fontId="21" fillId="3" borderId="5" applyAlignment="1" pivotButton="0" quotePrefix="0" xfId="0">
      <alignment horizontal="left" wrapText="1"/>
    </xf>
    <xf numFmtId="0" fontId="20" fillId="3" borderId="1" applyAlignment="1" pivotButton="0" quotePrefix="0" xfId="0">
      <alignment horizontal="center" vertical="center" wrapText="1"/>
    </xf>
    <xf numFmtId="0" fontId="0" fillId="0" borderId="30" pivotButton="0" quotePrefix="0" xfId="0"/>
    <xf numFmtId="0" fontId="0" fillId="0" borderId="33" pivotButton="0" quotePrefix="0" xfId="0"/>
    <xf numFmtId="0" fontId="0" fillId="0" borderId="8" applyProtection="1" pivotButton="0" quotePrefix="0" xfId="0">
      <protection locked="0" hidden="0"/>
    </xf>
    <xf numFmtId="0" fontId="0" fillId="0" borderId="8" pivotButton="0" quotePrefix="0" xfId="0"/>
    <xf numFmtId="0" fontId="0" fillId="0" borderId="29" applyProtection="1" pivotButton="0" quotePrefix="0" xfId="0">
      <protection locked="0" hidden="0"/>
    </xf>
    <xf numFmtId="0" fontId="19" fillId="3" borderId="5" applyAlignment="1" pivotButton="0" quotePrefix="0" xfId="0">
      <alignment horizontal="right" vertical="center" wrapText="1"/>
    </xf>
    <xf numFmtId="0" fontId="8" fillId="3" borderId="1" applyAlignment="1" applyProtection="1" pivotButton="0" quotePrefix="0" xfId="0">
      <alignment horizontal="center" vertical="center" wrapText="1"/>
      <protection locked="0" hidden="0"/>
    </xf>
    <xf numFmtId="0" fontId="0" fillId="0" borderId="6"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33" applyProtection="1" pivotButton="0" quotePrefix="0" xfId="0">
      <protection locked="0" hidden="0"/>
    </xf>
    <xf numFmtId="0" fontId="0" fillId="0" borderId="4" applyProtection="1" pivotButton="0" quotePrefix="0" xfId="0">
      <protection locked="0" hidden="0"/>
    </xf>
    <xf numFmtId="0" fontId="15" fillId="2" borderId="5" applyAlignment="1" pivotButton="0" quotePrefix="0" xfId="0">
      <alignment horizontal="left" wrapText="1"/>
    </xf>
    <xf numFmtId="0" fontId="0" fillId="0" borderId="32" applyProtection="1" pivotButton="0" quotePrefix="0" xfId="0">
      <protection locked="0" hidden="0"/>
    </xf>
    <xf numFmtId="0" fontId="8" fillId="3" borderId="5" applyAlignment="1" pivotButton="0" quotePrefix="0" xfId="0">
      <alignment horizontal="left" vertical="center" wrapText="1"/>
    </xf>
    <xf numFmtId="166" fontId="13" fillId="3" borderId="5" applyAlignment="1" pivotButton="0" quotePrefix="0" xfId="0">
      <alignment horizontal="center" vertical="center" wrapText="1"/>
    </xf>
    <xf numFmtId="0" fontId="22" fillId="2" borderId="5" applyAlignment="1" pivotButton="0" quotePrefix="0" xfId="0">
      <alignment horizontal="left" vertical="center" wrapText="1"/>
    </xf>
    <xf numFmtId="164" fontId="0" fillId="0" borderId="0" applyAlignment="1" pivotButton="0" quotePrefix="1" xfId="0">
      <alignment horizontal="right"/>
    </xf>
    <xf numFmtId="164" fontId="0" fillId="0" borderId="0" applyAlignment="1" pivotButton="0" quotePrefix="0" xfId="0">
      <alignment horizontal="right"/>
    </xf>
    <xf numFmtId="167" fontId="29" fillId="0" borderId="20" applyAlignment="1" pivotButton="0" quotePrefix="0" xfId="3">
      <alignment vertical="center"/>
    </xf>
    <xf numFmtId="167" fontId="29" fillId="0" borderId="20" applyAlignment="1" pivotButton="0" quotePrefix="0" xfId="3">
      <alignment horizontal="center" vertical="center"/>
    </xf>
  </cellXfs>
  <cellStyles count="4">
    <cellStyle name="Standard" xfId="0" builtinId="0"/>
    <cellStyle name="Währung" xfId="1" builtinId="4"/>
    <cellStyle name="Prozent" xfId="2" builtinId="5"/>
    <cellStyle name="Komma" xfId="3" builtinId="3"/>
  </cellStyles>
  <dxfs count="52">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ont>
        <color auto="1"/>
      </font>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33.emf"/><Relationship Id="rId18" Type="http://schemas.openxmlformats.org/officeDocument/2006/relationships/image" Target="../media/image28.emf"/><Relationship Id="rId26" Type="http://schemas.openxmlformats.org/officeDocument/2006/relationships/image" Target="../media/image20.emf"/><Relationship Id="rId39" Type="http://schemas.openxmlformats.org/officeDocument/2006/relationships/image" Target="../media/image7.emf"/><Relationship Id="rId3" Type="http://schemas.openxmlformats.org/officeDocument/2006/relationships/image" Target="../media/image44.emf"/><Relationship Id="rId21" Type="http://schemas.openxmlformats.org/officeDocument/2006/relationships/image" Target="../media/image25.emf"/><Relationship Id="rId34" Type="http://schemas.openxmlformats.org/officeDocument/2006/relationships/image" Target="../media/image12.emf"/><Relationship Id="rId42" Type="http://schemas.openxmlformats.org/officeDocument/2006/relationships/image" Target="../media/image4.emf"/><Relationship Id="rId7" Type="http://schemas.openxmlformats.org/officeDocument/2006/relationships/image" Target="../media/image39.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21.emf"/><Relationship Id="rId33" Type="http://schemas.openxmlformats.org/officeDocument/2006/relationships/image" Target="../media/image13.emf"/><Relationship Id="rId38" Type="http://schemas.openxmlformats.org/officeDocument/2006/relationships/image" Target="../media/image8.emf"/><Relationship Id="rId2" Type="http://schemas.openxmlformats.org/officeDocument/2006/relationships/image" Target="../media/image43.emf"/><Relationship Id="rId16" Type="http://schemas.openxmlformats.org/officeDocument/2006/relationships/image" Target="../media/image30.emf"/><Relationship Id="rId20" Type="http://schemas.openxmlformats.org/officeDocument/2006/relationships/image" Target="../media/image26.emf"/><Relationship Id="rId29" Type="http://schemas.openxmlformats.org/officeDocument/2006/relationships/image" Target="../media/image17.emf"/><Relationship Id="rId41" Type="http://schemas.openxmlformats.org/officeDocument/2006/relationships/image" Target="../media/image5.emf"/><Relationship Id="rId1" Type="http://schemas.openxmlformats.org/officeDocument/2006/relationships/image" Target="../media/image45.emf"/><Relationship Id="rId6" Type="http://schemas.openxmlformats.org/officeDocument/2006/relationships/image" Target="../media/image40.emf"/><Relationship Id="rId11" Type="http://schemas.openxmlformats.org/officeDocument/2006/relationships/image" Target="../media/image35.emf"/><Relationship Id="rId24" Type="http://schemas.openxmlformats.org/officeDocument/2006/relationships/image" Target="../media/image23.emf"/><Relationship Id="rId32" Type="http://schemas.openxmlformats.org/officeDocument/2006/relationships/image" Target="../media/image14.emf"/><Relationship Id="rId37" Type="http://schemas.openxmlformats.org/officeDocument/2006/relationships/image" Target="../media/image9.emf"/><Relationship Id="rId40" Type="http://schemas.openxmlformats.org/officeDocument/2006/relationships/image" Target="../media/image6.emf"/><Relationship Id="rId45" Type="http://schemas.openxmlformats.org/officeDocument/2006/relationships/image" Target="../media/image1.emf"/><Relationship Id="rId5" Type="http://schemas.openxmlformats.org/officeDocument/2006/relationships/image" Target="../media/image41.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18.emf"/><Relationship Id="rId36" Type="http://schemas.openxmlformats.org/officeDocument/2006/relationships/image" Target="../media/image10.emf"/><Relationship Id="rId10" Type="http://schemas.openxmlformats.org/officeDocument/2006/relationships/image" Target="../media/image36.emf"/><Relationship Id="rId19" Type="http://schemas.openxmlformats.org/officeDocument/2006/relationships/image" Target="../media/image27.emf"/><Relationship Id="rId31" Type="http://schemas.openxmlformats.org/officeDocument/2006/relationships/image" Target="../media/image15.emf"/><Relationship Id="rId44" Type="http://schemas.openxmlformats.org/officeDocument/2006/relationships/image" Target="../media/image2.emf"/><Relationship Id="rId4" Type="http://schemas.openxmlformats.org/officeDocument/2006/relationships/image" Target="../media/image42.emf"/><Relationship Id="rId9" Type="http://schemas.openxmlformats.org/officeDocument/2006/relationships/image" Target="../media/image37.emf"/><Relationship Id="rId14" Type="http://schemas.openxmlformats.org/officeDocument/2006/relationships/image" Target="../media/image32.emf"/><Relationship Id="rId22" Type="http://schemas.openxmlformats.org/officeDocument/2006/relationships/image" Target="../media/image22.emf"/><Relationship Id="rId27" Type="http://schemas.openxmlformats.org/officeDocument/2006/relationships/image" Target="../media/image19.emf"/><Relationship Id="rId30" Type="http://schemas.openxmlformats.org/officeDocument/2006/relationships/image" Target="../media/image16.emf"/><Relationship Id="rId35" Type="http://schemas.openxmlformats.org/officeDocument/2006/relationships/image" Target="../media/image11.emf"/><Relationship Id="rId43" Type="http://schemas.openxmlformats.org/officeDocument/2006/relationships/image" Target="../media/image3.emf"/></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Tabelle1">
    <outlinePr summaryBelow="1" summaryRight="1"/>
    <pageSetUpPr/>
  </sheetPr>
  <dimension ref="A1:S169"/>
  <sheetViews>
    <sheetView tabSelected="1" showWhiteSpace="0" topLeftCell="A11" zoomScale="110" zoomScaleNormal="110" zoomScalePageLayoutView="140" workbookViewId="0">
      <selection activeCell="A4" sqref="A4:E4"/>
    </sheetView>
  </sheetViews>
  <sheetFormatPr baseColWidth="10" defaultColWidth="0" defaultRowHeight="15" zeroHeight="1" outlineLevelRow="1"/>
  <cols>
    <col width="13.7109375" customWidth="1" style="12" min="1" max="7"/>
    <col width="1.7109375" customWidth="1" style="13" min="8" max="8"/>
    <col hidden="1" width="45.7109375" customWidth="1" style="13" min="9" max="9"/>
    <col hidden="1" width="11.42578125" customWidth="1" style="12" min="10" max="10"/>
    <col hidden="1" width="11" customWidth="1" style="12" min="11" max="11"/>
    <col hidden="1" width="11.42578125" customWidth="1" style="12" min="12" max="15"/>
    <col hidden="1" width="14" customWidth="1" style="12" min="16" max="16"/>
    <col hidden="1" width="16.42578125" customWidth="1" style="12" min="17" max="17"/>
    <col hidden="1" width="11.42578125" customWidth="1" style="12" min="18" max="16384"/>
  </cols>
  <sheetData>
    <row r="1" ht="18" customHeight="1" s="12" thickBot="1">
      <c r="A1" s="235" t="inlineStr">
        <is>
          <t>Zum Öffnen der allgemeinen Hinweise bitte links am Rand auf das "+" Symbol klicken</t>
        </is>
      </c>
      <c r="B1" s="236" t="n"/>
      <c r="C1" s="236" t="n"/>
      <c r="D1" s="236" t="n"/>
      <c r="E1" s="236" t="n"/>
      <c r="F1" s="236" t="n"/>
      <c r="G1" s="237" t="n"/>
      <c r="H1" s="16">
        <f>IF(AND(D90="",E90="",F90="",G90=""),"",IF(MIN(D112:G112)&lt;0,MAX(D112:G112),""))</f>
        <v/>
      </c>
      <c r="I1" s="16" t="n"/>
      <c r="S1">
        <f t="array" ref="S1:S122">""</f>
        <v/>
      </c>
    </row>
    <row r="2" hidden="1" outlineLevel="1" ht="222.75" customHeight="1" s="12" thickBot="1">
      <c r="A2" s="238" t="inlineStr">
        <is>
          <t>Dieses Template ist ein Hilfsmittel für die angemessene Dokumentation von Wirtschaftlichkeitsuntersuchungen zu finanzwirksamen Maßnahmen in Form einer externen Leistungserbringung, sofern die Maßnahme die folgenden Voraussetzungen erfüllt:
- Es handelt sich grundsätzlich um eine unterjährige finanzwirksame Maßnahme.
- Es handelt sich um einen einmaligen, nicht wiederkehrenden Bedarf.
- Zudem sollte die WU einen geringen Komplexitätsgrad aufweisen und daraus 
resultierend einen geringen Dokumentationsumfang zur Nachvollziehbarkeit benötigen.
Davon unbenommen ist die Durchführung einer umfassenden (übergreifenden) WU, 
sollte ein dauerhafter wiederkehrender Bedarf an externen Leistungen bestehen. 
KompZWUBw regt in diesen Fällen an, an jeweils zentraler Stelle eine übergreifende WU durchzuführen. 
Bei überjährigen Maßnahmen sind ggf. auch die OrgReferate zu beteiligen.</t>
        </is>
      </c>
      <c r="B2" s="236" t="n"/>
      <c r="C2" s="236" t="n"/>
      <c r="D2" s="236" t="n"/>
      <c r="E2" s="236" t="n"/>
      <c r="F2" s="236" t="n"/>
      <c r="G2" s="237" t="n"/>
      <c r="H2" s="16" t="n"/>
      <c r="I2" s="16" t="n"/>
    </row>
    <row r="3" collapsed="1" ht="35.1" customHeight="1" s="12" thickBot="1">
      <c r="A3" s="239" t="inlineStr">
        <is>
          <t>Für die weitere Bearbeitung dieser Vorlage sind bitte alle grau hinterlegten Felder auszufüllen.
Das Einfügen von weiteren Zeilen ist in diesem Template NICHT vorgesehen.</t>
        </is>
      </c>
      <c r="B3" s="236" t="n"/>
      <c r="C3" s="236" t="n"/>
      <c r="D3" s="236" t="n"/>
      <c r="E3" s="236" t="n"/>
      <c r="F3" s="236" t="n"/>
      <c r="G3" s="237" t="n"/>
      <c r="H3" s="16" t="n"/>
      <c r="I3" s="16" t="n"/>
    </row>
    <row r="4" ht="69" customHeight="1" s="12" thickBot="1">
      <c r="A4" s="195" t="inlineStr">
        <is>
          <t>Wirtschaftlichkeitsuntersuchung 
für die Inanspruchnahme einer 
externen Leistungserbringung</t>
        </is>
      </c>
      <c r="B4" s="236" t="n"/>
      <c r="C4" s="236" t="n"/>
      <c r="D4" s="236" t="n"/>
      <c r="E4" s="236" t="n"/>
      <c r="F4" s="240" t="inlineStr">
        <is>
          <t>offen
Version: 1</t>
        </is>
      </c>
      <c r="G4" s="237" t="n"/>
      <c r="H4" s="16" t="n"/>
      <c r="I4" s="16" t="n"/>
    </row>
    <row r="5" ht="52.5" customHeight="1" s="12" thickBot="1">
      <c r="A5" s="164" t="inlineStr">
        <is>
          <t>Dienststelle/
OrgEinheit:</t>
        </is>
      </c>
      <c r="B5" s="17" t="inlineStr">
        <is>
          <t>TestDS</t>
        </is>
      </c>
      <c r="C5" s="165" t="inlineStr">
        <is>
          <t>Maßnahmen-verantwortlicher:</t>
        </is>
      </c>
      <c r="D5" s="166" t="inlineStr">
        <is>
          <t>Max Muster</t>
        </is>
      </c>
      <c r="E5" s="165" t="inlineStr">
        <is>
          <t>Durchführungs-verantwortlicher (Bearbeiter):</t>
        </is>
      </c>
      <c r="F5" s="167" t="inlineStr">
        <is>
          <t>Anna Test</t>
        </is>
      </c>
      <c r="G5" s="165" t="inlineStr">
        <is>
          <t xml:space="preserve">Art der Maßnahme:
einmalig, unterjährig </t>
        </is>
      </c>
      <c r="H5" s="16" t="n"/>
      <c r="I5" s="137" t="n"/>
    </row>
    <row r="6" ht="52.15" customHeight="1" s="12" thickBot="1">
      <c r="A6" s="164" t="inlineStr">
        <is>
          <t>Datum der
Erstellung:</t>
        </is>
      </c>
      <c r="B6" s="19" t="n">
        <v>46127</v>
      </c>
      <c r="C6" s="20" t="inlineStr">
        <is>
          <t>Beginn der 
Maßnahme:</t>
        </is>
      </c>
      <c r="D6" s="21" t="n">
        <v>46204</v>
      </c>
      <c r="E6" s="165" t="inlineStr">
        <is>
          <t>Ende der Maßnahme:</t>
        </is>
      </c>
      <c r="F6" s="21" t="n">
        <v>46387</v>
      </c>
      <c r="G6" s="241" t="n"/>
      <c r="H6" s="16" t="n"/>
      <c r="I6" s="133" t="inlineStr">
        <is>
          <t>Hinweise zur Dokumentenkopfzeile</t>
        </is>
      </c>
    </row>
    <row r="7" ht="20.1" customHeight="1" s="12" thickBot="1">
      <c r="A7" s="242" t="inlineStr">
        <is>
          <t>1. Bedarf</t>
        </is>
      </c>
      <c r="B7" s="236" t="n"/>
      <c r="C7" s="236" t="n"/>
      <c r="D7" s="236" t="n"/>
      <c r="E7" s="236" t="n"/>
      <c r="F7" s="236" t="n"/>
      <c r="G7" s="237" t="n"/>
      <c r="H7" s="16" t="n"/>
      <c r="I7" s="16" t="n"/>
    </row>
    <row r="8" ht="20.1" customHeight="1" s="12" thickBot="1">
      <c r="A8" s="242" t="inlineStr">
        <is>
          <t>1.1 Bedarfsforderung</t>
        </is>
      </c>
      <c r="B8" s="236" t="n"/>
      <c r="C8" s="236" t="n"/>
      <c r="D8" s="236" t="n"/>
      <c r="E8" s="236" t="n"/>
      <c r="F8" s="236" t="n"/>
      <c r="G8" s="237" t="n"/>
      <c r="H8" s="16" t="n"/>
      <c r="I8" s="133" t="inlineStr">
        <is>
          <t xml:space="preserve">Hinweise zur Bedarfsforderung </t>
        </is>
      </c>
    </row>
    <row r="9" ht="52.5" customHeight="1" s="12" thickBot="1">
      <c r="A9" s="22" t="inlineStr">
        <is>
          <t>Bezeichnung 
der benötigten Leistung:</t>
        </is>
      </c>
      <c r="B9" s="65" t="inlineStr">
        <is>
          <t>Testleistung</t>
        </is>
      </c>
      <c r="C9" s="23" t="n"/>
      <c r="D9" s="23" t="n"/>
      <c r="E9" s="23" t="n"/>
      <c r="F9" s="23" t="n"/>
      <c r="G9" s="167" t="n"/>
      <c r="H9" s="16" t="n"/>
      <c r="I9" s="16" t="n"/>
      <c r="N9">
        <f>COLUMN(B9)</f>
        <v/>
      </c>
    </row>
    <row r="10" hidden="1" ht="20.25" customHeight="1" s="12" thickBot="1">
      <c r="A10" s="22" t="n"/>
      <c r="B10" s="25" t="n"/>
      <c r="C10" s="23" t="n"/>
      <c r="D10" s="23" t="n"/>
      <c r="E10" s="23" t="n"/>
      <c r="F10" s="23" t="n"/>
      <c r="G10" s="167" t="n"/>
      <c r="H10" s="16" t="n"/>
      <c r="I10" s="16" t="n"/>
    </row>
    <row r="11" ht="69.75" customHeight="1" s="12" thickBot="1">
      <c r="A11" s="22" t="inlineStr">
        <is>
          <t>Beschreibung und Zielsetzung der benötigten Leistung:</t>
        </is>
      </c>
      <c r="B11" s="26" t="inlineStr">
        <is>
          <t>Testbeschreibung</t>
        </is>
      </c>
      <c r="C11" s="23" t="n"/>
      <c r="D11" s="23" t="n"/>
      <c r="E11" s="23" t="n"/>
      <c r="F11" s="23" t="n"/>
      <c r="G11" s="167" t="n"/>
      <c r="H11" s="16" t="n"/>
      <c r="I11" s="16" t="n"/>
      <c r="N11">
        <f>COLUMN(B11)</f>
        <v/>
      </c>
    </row>
    <row r="12" hidden="1" ht="6.75" customHeight="1" s="12" thickBot="1">
      <c r="A12" s="22" t="n"/>
      <c r="B12" s="25" t="n"/>
      <c r="C12" s="23" t="n"/>
      <c r="D12" s="23" t="n"/>
      <c r="E12" s="23" t="n"/>
      <c r="F12" s="23" t="n"/>
      <c r="G12" s="167" t="n"/>
      <c r="H12" s="16" t="n"/>
      <c r="I12" s="16" t="n"/>
      <c r="N12">
        <f>COLUMN(B12)</f>
        <v/>
      </c>
    </row>
    <row r="13" ht="20.1" customHeight="1" s="12" thickBot="1">
      <c r="A13" s="243" t="inlineStr">
        <is>
          <t>1.2 Rahmenbedingungen (RB):</t>
        </is>
      </c>
      <c r="B13" s="244" t="n"/>
      <c r="C13" s="244" t="n"/>
      <c r="D13" s="244" t="n"/>
      <c r="E13" s="244" t="n"/>
      <c r="F13" s="244" t="n"/>
      <c r="G13" s="245" t="n"/>
      <c r="H13" s="16" t="n"/>
      <c r="I13" s="133" t="inlineStr">
        <is>
          <t>Hinweise zu den Rahmenbedingungen</t>
        </is>
      </c>
    </row>
    <row r="14" ht="18" customHeight="1" s="12" thickBot="1">
      <c r="A14" s="210" t="n">
        <v>1</v>
      </c>
      <c r="B14" s="246" t="n"/>
      <c r="C14" s="247" t="n"/>
      <c r="D14" s="28" t="n"/>
      <c r="E14" s="29" t="n"/>
      <c r="F14" s="29" t="n"/>
      <c r="G14" s="30" t="n"/>
      <c r="H14" s="16" t="n"/>
      <c r="I14" s="16" t="n"/>
      <c r="N14">
        <f>COLUMN(D14)</f>
        <v/>
      </c>
    </row>
    <row r="15" hidden="1" ht="18" customHeight="1" s="12" thickBot="1">
      <c r="A15" s="31" t="n">
        <v>2</v>
      </c>
      <c r="B15" s="248" t="n"/>
      <c r="C15" s="247" t="n"/>
      <c r="D15" s="28" t="n"/>
      <c r="E15" s="29" t="n"/>
      <c r="F15" s="29" t="n"/>
      <c r="G15" s="30" t="n"/>
      <c r="H15" s="16" t="n"/>
      <c r="I15" s="16" t="n"/>
      <c r="N15">
        <f>COLUMN(D15)</f>
        <v/>
      </c>
    </row>
    <row r="16" hidden="1" ht="18" customHeight="1" s="12" thickBot="1">
      <c r="A16" s="165" t="n">
        <v>3</v>
      </c>
      <c r="B16" s="249" t="n"/>
      <c r="C16" s="237" t="n"/>
      <c r="D16" s="28" t="n"/>
      <c r="E16" s="29" t="n"/>
      <c r="F16" s="29" t="n"/>
      <c r="G16" s="30" t="n"/>
      <c r="H16" s="16" t="n"/>
      <c r="I16" s="16" t="n"/>
      <c r="N16">
        <f>COLUMN(D16)</f>
        <v/>
      </c>
    </row>
    <row r="17" hidden="1" ht="18" customHeight="1" s="12" thickBot="1">
      <c r="A17" s="165" t="n">
        <v>4</v>
      </c>
      <c r="B17" s="249" t="n"/>
      <c r="C17" s="237" t="n"/>
      <c r="D17" s="28" t="n"/>
      <c r="E17" s="29" t="n"/>
      <c r="F17" s="29" t="n"/>
      <c r="G17" s="30" t="n"/>
      <c r="H17" s="16" t="n"/>
      <c r="I17" s="16" t="n"/>
      <c r="N17">
        <f>COLUMN(D17)</f>
        <v/>
      </c>
    </row>
    <row r="18" hidden="1" ht="18" customHeight="1" s="12" thickBot="1">
      <c r="A18" s="165" t="n">
        <v>5</v>
      </c>
      <c r="B18" s="249" t="n"/>
      <c r="C18" s="237" t="n"/>
      <c r="D18" s="28" t="n"/>
      <c r="E18" s="29" t="n"/>
      <c r="F18" s="29" t="n"/>
      <c r="G18" s="30" t="n"/>
      <c r="H18" s="16" t="n"/>
      <c r="I18" s="16" t="n"/>
      <c r="N18">
        <f>COLUMN(D18)</f>
        <v/>
      </c>
    </row>
    <row r="19" ht="20.1" customHeight="1" s="12" thickBot="1">
      <c r="A19" s="242" t="inlineStr">
        <is>
          <t>2. Ausgangslage</t>
        </is>
      </c>
      <c r="B19" s="236" t="n"/>
      <c r="C19" s="236" t="n"/>
      <c r="D19" s="236" t="n"/>
      <c r="E19" s="236" t="n"/>
      <c r="F19" s="236" t="n"/>
      <c r="G19" s="237" t="n"/>
      <c r="H19" s="16" t="n"/>
      <c r="I19" s="16" t="n"/>
    </row>
    <row r="20" ht="18" customHeight="1" s="12" thickBot="1">
      <c r="A20" s="26" t="inlineStr">
        <is>
          <t>Testausgangslage</t>
        </is>
      </c>
      <c r="B20" s="23" t="n"/>
      <c r="C20" s="23" t="n"/>
      <c r="D20" s="23" t="n"/>
      <c r="E20" s="23" t="n"/>
      <c r="F20" s="23" t="n"/>
      <c r="G20" s="33" t="n"/>
      <c r="H20" s="16" t="n"/>
      <c r="I20" s="16" t="n"/>
      <c r="N20">
        <f>COLUMN(A20)</f>
        <v/>
      </c>
    </row>
    <row r="21" ht="20.1" customHeight="1" s="12" thickBot="1">
      <c r="A21" s="242" t="inlineStr">
        <is>
          <t>3. Optionen der Bedarfsdeckung</t>
        </is>
      </c>
      <c r="B21" s="236" t="n"/>
      <c r="C21" s="236" t="n"/>
      <c r="D21" s="236" t="n"/>
      <c r="E21" s="236" t="n"/>
      <c r="F21" s="236" t="n"/>
      <c r="G21" s="237" t="n"/>
      <c r="H21" s="16" t="n"/>
      <c r="I21" s="16" t="n"/>
    </row>
    <row r="22" ht="20.1" customHeight="1" s="12" thickBot="1">
      <c r="A22" s="242" t="inlineStr">
        <is>
          <t>3.1 Grundsätzlich mögliche Optionen</t>
        </is>
      </c>
      <c r="B22" s="236" t="n"/>
      <c r="C22" s="236" t="n"/>
      <c r="D22" s="236" t="n"/>
      <c r="E22" s="236" t="n"/>
      <c r="F22" s="236" t="n"/>
      <c r="G22" s="237" t="n"/>
      <c r="H22" s="16" t="n"/>
      <c r="I22" s="133" t="inlineStr">
        <is>
          <t>Hinweise zu den Optionen der Bedarfsdeckung</t>
        </is>
      </c>
    </row>
    <row r="23" ht="21.95" customHeight="1" s="12" thickBot="1">
      <c r="A23" s="34" t="inlineStr">
        <is>
          <t>Option</t>
        </is>
      </c>
      <c r="B23" s="35" t="n">
        <v>1</v>
      </c>
      <c r="C23" s="35" t="n"/>
      <c r="D23" s="180" t="inlineStr">
        <is>
          <t>Leistungserbringung durch die eigene Dienststelle</t>
        </is>
      </c>
      <c r="E23" s="236" t="n"/>
      <c r="F23" s="236" t="n"/>
      <c r="G23" s="237" t="n"/>
      <c r="H23" s="16" t="n"/>
      <c r="I23" s="16" t="n"/>
    </row>
    <row r="24" ht="21.95" customHeight="1" s="12" thickBot="1">
      <c r="A24" s="34" t="inlineStr">
        <is>
          <t>Option</t>
        </is>
      </c>
      <c r="B24" s="35" t="n">
        <v>2</v>
      </c>
      <c r="C24" s="35" t="n"/>
      <c r="D24" s="180" t="inlineStr">
        <is>
          <t>Leistungserbringung durch andere bundeswehrinterne Dienststellen</t>
        </is>
      </c>
      <c r="E24" s="236" t="n"/>
      <c r="F24" s="236" t="n"/>
      <c r="G24" s="237" t="n"/>
      <c r="H24" s="16" t="n"/>
      <c r="I24" s="16" t="n"/>
    </row>
    <row r="25" ht="21.95" customHeight="1" s="12" thickBot="1">
      <c r="A25" s="34" t="inlineStr">
        <is>
          <t>Option</t>
        </is>
      </c>
      <c r="B25" s="35" t="n">
        <v>3</v>
      </c>
      <c r="C25" s="35" t="n"/>
      <c r="D25" s="180" t="inlineStr">
        <is>
          <t>Leistungserbringung durch eine Inhousegesellschaft / Dienststelle eines anderen Ressorts</t>
        </is>
      </c>
      <c r="E25" s="236" t="n"/>
      <c r="F25" s="236" t="n"/>
      <c r="G25" s="237" t="n"/>
      <c r="H25" s="16" t="n"/>
      <c r="I25" s="16" t="n"/>
    </row>
    <row r="26" ht="21.95" customHeight="1" s="12" thickBot="1">
      <c r="A26" s="34" t="inlineStr">
        <is>
          <t>Option</t>
        </is>
      </c>
      <c r="B26" s="36" t="n">
        <v>4</v>
      </c>
      <c r="C26" s="35" t="n"/>
      <c r="D26" s="180" t="inlineStr">
        <is>
          <t>Leistungserbringung durch einen externen Dienstleister</t>
        </is>
      </c>
      <c r="E26" s="236" t="n"/>
      <c r="F26" s="236" t="n"/>
      <c r="G26" s="237" t="n"/>
      <c r="H26" s="16" t="n"/>
      <c r="I26" s="16" t="n"/>
    </row>
    <row r="27" ht="20.1" customHeight="1" s="12" thickBot="1">
      <c r="A27" s="242" t="inlineStr">
        <is>
          <t>3.2 Aussonderung ungeeigneter Optionen</t>
        </is>
      </c>
      <c r="B27" s="236" t="n"/>
      <c r="C27" s="236" t="n"/>
      <c r="D27" s="236" t="n"/>
      <c r="E27" s="236" t="n"/>
      <c r="F27" s="236" t="n"/>
      <c r="G27" s="237" t="n"/>
      <c r="H27" s="16" t="n"/>
      <c r="I27" s="134" t="inlineStr">
        <is>
          <t>Hinweise zur Aussonderung der Optionen</t>
        </is>
      </c>
    </row>
    <row r="28" hidden="1" ht="54.95" customHeight="1" s="12" thickBot="1">
      <c r="A28" s="250" t="n"/>
      <c r="B28" s="155" t="inlineStr">
        <is>
          <t>ist nicht bedarfsdeckend, weil:</t>
        </is>
      </c>
      <c r="C28" s="37" t="n"/>
      <c r="D28" s="152" t="inlineStr">
        <is>
          <t>nicht bedarfsdeckend</t>
        </is>
      </c>
      <c r="E28" s="152" t="n"/>
      <c r="F28" s="152" t="n"/>
      <c r="G28" s="153" t="n"/>
      <c r="H28" s="16" t="n"/>
      <c r="I28" s="16" t="n"/>
      <c r="N28">
        <f>COLUMN(C28)</f>
        <v/>
      </c>
    </row>
    <row r="29" hidden="1" ht="54.95" customHeight="1" s="12" thickBot="1">
      <c r="A29" s="241" t="n"/>
      <c r="B29" s="154" t="inlineStr">
        <is>
          <t>verstößt gegen:</t>
        </is>
      </c>
      <c r="C29" s="23" t="n"/>
      <c r="D29" s="23" t="n"/>
      <c r="E29" s="23" t="n"/>
      <c r="F29" s="23" t="n"/>
      <c r="G29" s="167" t="n"/>
      <c r="H29" s="16" t="n"/>
      <c r="I29" s="16" t="n"/>
    </row>
    <row r="30" hidden="1" ht="54.95" customHeight="1" s="12" thickBot="1">
      <c r="A30" s="250" t="n"/>
      <c r="B30" s="156" t="inlineStr">
        <is>
          <t>ist nicht bedarfsdeckend, weil:</t>
        </is>
      </c>
      <c r="C30" s="37" t="n"/>
      <c r="D30" s="152" t="inlineStr">
        <is>
          <t>nicht bedarfsdeckend</t>
        </is>
      </c>
      <c r="E30" s="152" t="n"/>
      <c r="F30" s="152" t="n"/>
      <c r="G30" s="153" t="n"/>
      <c r="H30" s="16" t="n"/>
      <c r="I30" s="16" t="n"/>
      <c r="N30">
        <f>COLUMN(C30)</f>
        <v/>
      </c>
    </row>
    <row r="31" hidden="1" ht="54.95" customHeight="1" s="12" thickBot="1">
      <c r="A31" s="241" t="n"/>
      <c r="B31" s="154" t="inlineStr">
        <is>
          <t>verstößt gegen:</t>
        </is>
      </c>
      <c r="C31" s="23" t="n"/>
      <c r="D31" s="23" t="n"/>
      <c r="E31" s="23" t="n"/>
      <c r="F31" s="23" t="n"/>
      <c r="G31" s="167" t="n"/>
      <c r="H31" s="16" t="n"/>
      <c r="I31" s="16" t="n"/>
    </row>
    <row r="32" hidden="1" ht="54.95" customHeight="1" s="12" thickBot="1">
      <c r="A32" s="250" t="n"/>
      <c r="B32" s="156" t="inlineStr">
        <is>
          <t>ist nicht bedarfsdeckend, weil:</t>
        </is>
      </c>
      <c r="C32" s="37" t="n"/>
      <c r="D32" s="152" t="n"/>
      <c r="E32" s="152" t="n"/>
      <c r="F32" s="152" t="n"/>
      <c r="G32" s="153" t="n"/>
      <c r="H32" s="16" t="n"/>
      <c r="I32" s="16" t="n"/>
      <c r="N32">
        <f>COLUMN(C32)</f>
        <v/>
      </c>
    </row>
    <row r="33" hidden="1" ht="54.95" customHeight="1" s="12" thickBot="1">
      <c r="A33" s="241" t="n"/>
      <c r="B33" s="154" t="inlineStr">
        <is>
          <t>verstößt gegen:</t>
        </is>
      </c>
      <c r="C33" s="23" t="n"/>
      <c r="D33" s="23" t="n"/>
      <c r="E33" s="23" t="n"/>
      <c r="F33" s="23" t="n"/>
      <c r="G33" s="167" t="n"/>
      <c r="H33" s="16" t="n"/>
      <c r="I33" s="16" t="n"/>
    </row>
    <row r="34" hidden="1" ht="54.95" customHeight="1" s="12" thickBot="1">
      <c r="A34" s="250" t="n"/>
      <c r="B34" s="156" t="inlineStr">
        <is>
          <t>ist nicht bedarfsdeckend, weil:</t>
        </is>
      </c>
      <c r="C34" s="37" t="n"/>
      <c r="D34" s="152" t="n"/>
      <c r="E34" s="152" t="n"/>
      <c r="F34" s="152" t="n"/>
      <c r="G34" s="153" t="n"/>
      <c r="H34" s="16" t="n"/>
      <c r="I34" s="16" t="n"/>
      <c r="N34">
        <f>COLUMN(C34)</f>
        <v/>
      </c>
    </row>
    <row r="35" hidden="1" ht="54.95" customHeight="1" s="12" thickBot="1">
      <c r="A35" s="241" t="n"/>
      <c r="B35" s="154" t="inlineStr">
        <is>
          <t>verstößt gegen:</t>
        </is>
      </c>
      <c r="C35" s="23" t="n"/>
      <c r="D35" s="23" t="n"/>
      <c r="E35" s="23" t="n"/>
      <c r="F35" s="23" t="n"/>
      <c r="G35" s="167" t="n"/>
      <c r="H35" s="16" t="n"/>
      <c r="I35" s="16" t="n"/>
    </row>
    <row r="36" ht="20.1" customHeight="1" s="12" thickBot="1">
      <c r="A36" s="242" t="inlineStr">
        <is>
          <t>3.3 Darstellung geeigneter Optionen</t>
        </is>
      </c>
      <c r="B36" s="236" t="n"/>
      <c r="C36" s="236" t="n"/>
      <c r="D36" s="236" t="n"/>
      <c r="E36" s="236" t="n"/>
      <c r="F36" s="236" t="n"/>
      <c r="G36" s="237" t="n"/>
      <c r="H36" s="16" t="n"/>
      <c r="I36" s="16" t="n"/>
    </row>
    <row r="37" hidden="1" ht="39.75" customHeight="1" s="12" thickBot="1">
      <c r="A37" s="38" t="n"/>
      <c r="B37" s="39" t="n"/>
      <c r="C37" s="117" t="inlineStr">
        <is>
          <t>Bezeichnung der Ausgabe</t>
        </is>
      </c>
      <c r="D37" s="40" t="inlineStr">
        <is>
          <t>Beschreibung 
der Ausgabe</t>
        </is>
      </c>
      <c r="E37" s="40" t="inlineStr">
        <is>
          <t>Anzahl</t>
        </is>
      </c>
      <c r="F37" s="118" t="inlineStr">
        <is>
          <t>VZÄ</t>
        </is>
      </c>
      <c r="G37" s="41" t="inlineStr">
        <is>
          <t>Gesamt</t>
        </is>
      </c>
      <c r="H37" s="16" t="n"/>
      <c r="I37" s="133" t="inlineStr">
        <is>
          <t>Hinweise zur Darstellung der geeigneten Optionen</t>
        </is>
      </c>
    </row>
    <row r="38" hidden="1" ht="35.1" customHeight="1" s="12">
      <c r="A38" s="42" t="n"/>
      <c r="B38" s="43" t="n"/>
      <c r="C38" s="119" t="inlineStr">
        <is>
          <t>Tagegeld</t>
        </is>
      </c>
      <c r="D38" s="121" t="n">
        <v>0</v>
      </c>
      <c r="E38" s="123" t="n">
        <v>0</v>
      </c>
      <c r="F38" s="122" t="n">
        <v>0</v>
      </c>
      <c r="G38" s="48">
        <f>IF(AND(D38=0,E38=0),F38,IF(OR(D38="",D38=0),E38*F38,IF(OR(E38="",E38=0),D38*F38,D38*E38*F38)))*-1</f>
        <v/>
      </c>
      <c r="H38" s="16" t="n"/>
      <c r="I38" s="135" t="n"/>
    </row>
    <row r="39" hidden="1" ht="39.95" customHeight="1" s="12">
      <c r="A39" s="157" t="n"/>
      <c r="B39" s="251" t="inlineStr">
        <is>
          <t>Ausgaben für 
Bw-Personal</t>
        </is>
      </c>
      <c r="C39" s="139" t="inlineStr">
        <is>
          <t>Bei Bedarf bitte auswählen</t>
        </is>
      </c>
      <c r="D39" s="130" t="inlineStr">
        <is>
          <t>Personalkosten</t>
        </is>
      </c>
      <c r="E39" s="125" t="n">
        <v>0</v>
      </c>
      <c r="F39" s="127" t="n">
        <v>0</v>
      </c>
      <c r="G39" s="120" t="n">
        <v>-5000</v>
      </c>
      <c r="H39" s="16" t="n"/>
      <c r="I39" s="138" t="n"/>
      <c r="O39">
        <f>IF(C39="Personalnormkosten Arbeitnehmer",196.75,IF(C39="Personalnormkosten Beamte",195.5,IF(C39="Personalnormkosten Soldaten",208.18,"")))</f>
        <v/>
      </c>
      <c r="P39">
        <f>(($F$6-$D$6)+1)</f>
        <v/>
      </c>
      <c r="Q39">
        <f>O39/365</f>
        <v/>
      </c>
    </row>
    <row r="40" hidden="1" ht="39.95" customHeight="1" s="12">
      <c r="A40" s="158" t="n"/>
      <c r="B40" s="252" t="n"/>
      <c r="C40" s="140" t="inlineStr">
        <is>
          <t>Bei Bedarf bitte auswählen</t>
        </is>
      </c>
      <c r="D40" s="131" t="inlineStr">
        <is>
          <t>Bei Bedarf bitte auswählen</t>
        </is>
      </c>
      <c r="E40" s="124" t="n">
        <v>0</v>
      </c>
      <c r="F40" s="128" t="n">
        <v>0</v>
      </c>
      <c r="G40" s="120">
        <f>IF(C40="Bei Bedarf bitte auswählen",0,IF(D40="Bei Bedarf bitte auswählen",0,IF(E40=0,0,IF(F40=0,0,(VLOOKUP(D40,Hilfstabelle!$A$44:$B$140,2,FALSE)*E40*F40*-1)/O40*P40*Q40))))</f>
        <v/>
      </c>
      <c r="H40" s="16" t="n"/>
      <c r="I40" s="16" t="n"/>
      <c r="O40">
        <f>IF(C40="Personalnormkosten Arbeitnehmer",196.75,IF(C40="Personalnormkosten Beamte",195.5,IF(C40="Personalnormkosten Soldaten",208.18,"")))</f>
        <v/>
      </c>
      <c r="P40">
        <f>(($F$6-$D$6)+1)</f>
        <v/>
      </c>
      <c r="Q40">
        <f>O40/365</f>
        <v/>
      </c>
    </row>
    <row r="41" hidden="1" ht="39.95" customHeight="1" s="12" thickBot="1">
      <c r="A41" s="42" t="n"/>
      <c r="B41" s="253" t="n"/>
      <c r="C41" s="141" t="inlineStr">
        <is>
          <t>Bei Bedarf bitte auswählen</t>
        </is>
      </c>
      <c r="D41" s="132" t="inlineStr">
        <is>
          <t>Bei Bedarf bitte auswählen</t>
        </is>
      </c>
      <c r="E41" s="126" t="n">
        <v>0</v>
      </c>
      <c r="F41" s="129" t="n">
        <v>0</v>
      </c>
      <c r="G41" s="120">
        <f>IF(C41="Bei Bedarf bitte auswählen",0,IF(D41="Bei Bedarf bitte auswählen",0,IF(E41=0,0,IF(F41=0,0,(VLOOKUP(D41,Hilfstabelle!$A$44:$B$140,2,FALSE)*E41*F41*-1)/O41*P41*Q41))))</f>
        <v/>
      </c>
      <c r="H41" s="16" t="n"/>
      <c r="I41" s="16" t="n"/>
      <c r="O41">
        <f>IF(C41="Personalnormkosten Arbeitnehmer",196.75,IF(C41="Personalnormkosten Beamte",195.5,IF(C41="Personalnormkosten Soldaten",208.18,"")))</f>
        <v/>
      </c>
      <c r="P41">
        <f>(($F$6-$D$6)+1)</f>
        <v/>
      </c>
      <c r="Q41">
        <f>O41/365</f>
        <v/>
      </c>
    </row>
    <row r="42" hidden="1" ht="39.95" customHeight="1" s="12" thickBot="1">
      <c r="A42" s="157" t="inlineStr">
        <is>
          <t>Option</t>
        </is>
      </c>
      <c r="B42" s="51" t="inlineStr">
        <is>
          <t>Ausgaben für 
Bw-Material</t>
        </is>
      </c>
      <c r="C42" s="147" t="inlineStr">
        <is>
          <t>Sonstiges</t>
        </is>
      </c>
      <c r="D42" s="67" t="n"/>
      <c r="E42" s="68" t="n"/>
      <c r="F42" s="142" t="n"/>
      <c r="G42" s="55" t="n">
        <v>0</v>
      </c>
      <c r="H42" s="16" t="n"/>
      <c r="I42" s="135" t="n"/>
    </row>
    <row r="43" hidden="1" ht="39.95" customHeight="1" s="12" thickBot="1">
      <c r="A43" s="158">
        <f>IF(B23="","",B23)</f>
        <v/>
      </c>
      <c r="B43" s="173" t="inlineStr">
        <is>
          <t>Ausgaben für 
Bw-Infrastruktur</t>
        </is>
      </c>
      <c r="C43" s="144" t="inlineStr">
        <is>
          <t>Sonstiges</t>
        </is>
      </c>
      <c r="D43" s="52" t="n"/>
      <c r="E43" s="53" t="n"/>
      <c r="F43" s="48" t="n"/>
      <c r="G43" s="58" t="n">
        <v>0</v>
      </c>
      <c r="H43" s="16" t="n"/>
      <c r="I43" s="16" t="n"/>
    </row>
    <row r="44" hidden="1" ht="39.95" customHeight="1" s="12" thickBot="1">
      <c r="A44" s="56" t="n"/>
      <c r="B44" s="59" t="n"/>
      <c r="C44" s="60" t="inlineStr">
        <is>
          <t>Unterbringung seitens Bw verfügbar 
(unentgetlich)</t>
        </is>
      </c>
      <c r="D44" s="61" t="n"/>
      <c r="E44" s="62" t="n"/>
      <c r="F44" s="73" t="n"/>
      <c r="G44" s="64" t="n">
        <v>0</v>
      </c>
      <c r="H44" s="16" t="n"/>
      <c r="I44" s="16" t="n"/>
    </row>
    <row r="45" hidden="1" ht="39.95" customHeight="1" s="12" thickBot="1">
      <c r="A45" s="234" t="inlineStr">
        <is>
          <t>Leistungserbringung durch die eigene Dienststelle</t>
        </is>
      </c>
      <c r="B45" s="51" t="inlineStr">
        <is>
          <t>Ausgaben für sonstige Dienstleistungen</t>
        </is>
      </c>
      <c r="C45" s="144" t="inlineStr">
        <is>
          <t>externe
Dienstleistung</t>
        </is>
      </c>
      <c r="D45" s="65" t="n"/>
      <c r="E45" s="53" t="n"/>
      <c r="F45" s="142" t="n"/>
      <c r="G45" s="55" t="n">
        <v>0</v>
      </c>
      <c r="H45" s="16" t="n"/>
      <c r="I45" s="16" t="n"/>
    </row>
    <row r="46" hidden="1" ht="39.95" customHeight="1" s="12" thickBot="1">
      <c r="A46" s="254" t="n"/>
      <c r="B46" s="255" t="n"/>
      <c r="C46" s="144" t="inlineStr">
        <is>
          <t>externe 
Prüfung</t>
        </is>
      </c>
      <c r="D46" s="65" t="n"/>
      <c r="E46" s="53" t="n"/>
      <c r="F46" s="142" t="n"/>
      <c r="G46" s="55" t="n">
        <v>0</v>
      </c>
      <c r="H46" s="16" t="n"/>
      <c r="I46" s="16" t="n"/>
    </row>
    <row r="47" hidden="1" ht="39.95" customHeight="1" s="12" thickBot="1">
      <c r="A47" s="254" t="n"/>
      <c r="B47" s="255" t="n"/>
      <c r="C47" s="144" t="inlineStr">
        <is>
          <t>externe 
Wartung</t>
        </is>
      </c>
      <c r="D47" s="65" t="n"/>
      <c r="E47" s="53" t="n"/>
      <c r="F47" s="142" t="n"/>
      <c r="G47" s="55" t="n">
        <v>0</v>
      </c>
      <c r="H47" s="16" t="n"/>
      <c r="I47" s="16" t="n"/>
    </row>
    <row r="48" hidden="1" ht="39.95" customHeight="1" s="12" thickBot="1">
      <c r="A48" s="254" t="n"/>
      <c r="B48" s="255" t="n"/>
      <c r="C48" s="145" t="inlineStr">
        <is>
          <t>externe 
Lizenzen</t>
        </is>
      </c>
      <c r="D48" s="65" t="n"/>
      <c r="E48" s="53" t="n"/>
      <c r="F48" s="142" t="n"/>
      <c r="G48" s="55" t="n">
        <v>0</v>
      </c>
      <c r="H48" s="16" t="n"/>
      <c r="I48" s="16" t="n"/>
    </row>
    <row r="49" hidden="1" ht="39.95" customHeight="1" s="12" thickBot="1">
      <c r="A49" s="256" t="n"/>
      <c r="B49" s="241" t="n"/>
      <c r="C49" s="144" t="inlineStr">
        <is>
          <t>Sonstiges</t>
        </is>
      </c>
      <c r="D49" s="67" t="n"/>
      <c r="E49" s="68" t="n"/>
      <c r="F49" s="143" t="n"/>
      <c r="G49" s="70" t="n">
        <v>0</v>
      </c>
      <c r="H49" s="16" t="n"/>
      <c r="I49" s="16" t="n"/>
    </row>
    <row r="50" hidden="1" ht="39.95" customHeight="1" s="12" thickBot="1">
      <c r="A50" s="38" t="n"/>
      <c r="B50" s="39" t="n"/>
      <c r="C50" s="40" t="inlineStr">
        <is>
          <t>Bezeichnung der Ausgabe</t>
        </is>
      </c>
      <c r="D50" s="40" t="inlineStr">
        <is>
          <t>Beschreibung 
der Ausgabe</t>
        </is>
      </c>
      <c r="E50" s="40" t="inlineStr">
        <is>
          <t>Anzahl</t>
        </is>
      </c>
      <c r="F50" s="118" t="inlineStr">
        <is>
          <t>VZÄ</t>
        </is>
      </c>
      <c r="G50" s="41" t="inlineStr">
        <is>
          <t>Gesamt</t>
        </is>
      </c>
      <c r="H50" s="16" t="n"/>
      <c r="I50" s="133" t="inlineStr">
        <is>
          <t>Hinweise zur Darstellung der geeigneten Optionen</t>
        </is>
      </c>
    </row>
    <row r="51" hidden="1" ht="35.1" customHeight="1" s="12" thickBot="1">
      <c r="A51" s="42" t="n"/>
      <c r="B51" s="71" t="n"/>
      <c r="C51" s="44" t="inlineStr">
        <is>
          <t>Tagegeld</t>
        </is>
      </c>
      <c r="D51" s="45" t="n">
        <v>0</v>
      </c>
      <c r="E51" s="46" t="n">
        <v>0</v>
      </c>
      <c r="F51" s="47" t="n">
        <v>0</v>
      </c>
      <c r="G51" s="48">
        <f>IF(AND(D51=0,E51=0),F51,IF(OR(D51="",D51=0),E51*F51,IF(OR(E51="",E51=0),D51*F51,D51*E51*F51)))*-1</f>
        <v/>
      </c>
      <c r="H51" s="16" t="n"/>
      <c r="I51" s="135" t="n"/>
    </row>
    <row r="52" hidden="1" ht="39.95" customHeight="1" s="12">
      <c r="A52" s="49" t="n"/>
      <c r="B52" s="51" t="inlineStr">
        <is>
          <t>Ausgaben für 
Bw-Personal</t>
        </is>
      </c>
      <c r="C52" s="139" t="inlineStr">
        <is>
          <t>Bei Bedarf bitte auswählen</t>
        </is>
      </c>
      <c r="D52" s="130" t="inlineStr">
        <is>
          <t>Bei Bedarf bitte auswählen</t>
        </is>
      </c>
      <c r="E52" s="125" t="n">
        <v>0</v>
      </c>
      <c r="F52" s="127" t="n">
        <v>0</v>
      </c>
      <c r="G52" s="120">
        <f>IF(C52="Bei Bedarf bitte auswählen",0,IF(D52="Bei Bedarf bitte auswählen",0,IF(E52=0,0,IF(F52=0,0,(VLOOKUP(D52,Hilfstabelle!$A$44:$B$140,2,FALSE)*E52*F52*-1)/O52*P52*Q52))))</f>
        <v/>
      </c>
      <c r="H52" s="16" t="n"/>
      <c r="I52" s="135" t="n"/>
      <c r="O52">
        <f>IF(C52="Personalnormkosten Arbeitnehmer",196.75,IF(C52="Personalnormkosten Beamte",195.5,IF(C52="Personalnormkosten Soldaten",208.18,"")))</f>
        <v/>
      </c>
      <c r="P52">
        <f>(($F$6-$D$6)+1)</f>
        <v/>
      </c>
      <c r="Q52">
        <f>O52/365</f>
        <v/>
      </c>
    </row>
    <row r="53" hidden="1" ht="39.95" customHeight="1" s="12">
      <c r="A53" s="50" t="n"/>
      <c r="B53" s="255" t="n"/>
      <c r="C53" s="140" t="inlineStr">
        <is>
          <t>Bei Bedarf bitte auswählen</t>
        </is>
      </c>
      <c r="D53" s="131" t="inlineStr">
        <is>
          <t>Bei Bedarf bitte auswählen</t>
        </is>
      </c>
      <c r="E53" s="124" t="n">
        <v>0</v>
      </c>
      <c r="F53" s="128" t="n">
        <v>0</v>
      </c>
      <c r="G53" s="120">
        <f>IF(C53="Bei Bedarf bitte auswählen",0,IF(D53="Bei Bedarf bitte auswählen",0,IF(E53=0,0,IF(F53=0,0,(VLOOKUP(D53,Hilfstabelle!$A$44:$B$140,2,FALSE)*E53*F53*-1)/O53*P53*Q53))))</f>
        <v/>
      </c>
      <c r="H53" s="16" t="n"/>
      <c r="I53" s="16" t="n"/>
      <c r="O53">
        <f>IF(C53="Personalnormkosten Arbeitnehmer",196.75,IF(C53="Personalnormkosten Beamte",195.5,IF(C53="Personalnormkosten Soldaten",208.18,"")))</f>
        <v/>
      </c>
      <c r="P53">
        <f>(($F$6-$D$6)+1)</f>
        <v/>
      </c>
      <c r="Q53">
        <f>O53/365</f>
        <v/>
      </c>
    </row>
    <row r="54" hidden="1" ht="39.95" customHeight="1" s="12" thickBot="1">
      <c r="A54" s="157" t="inlineStr">
        <is>
          <t>Option</t>
        </is>
      </c>
      <c r="B54" s="241" t="n"/>
      <c r="C54" s="141" t="inlineStr">
        <is>
          <t>Bei Bedarf bitte auswählen</t>
        </is>
      </c>
      <c r="D54" s="132" t="inlineStr">
        <is>
          <t>Bei Bedarf bitte auswählen</t>
        </is>
      </c>
      <c r="E54" s="126" t="n">
        <v>0</v>
      </c>
      <c r="F54" s="129" t="n">
        <v>0</v>
      </c>
      <c r="G54" s="120">
        <f>IF(C54="Bei Bedarf bitte auswählen",0,IF(D54="Bei Bedarf bitte auswählen",0,IF(E54=0,0,IF(F54=0,0,(VLOOKUP(D54,Hilfstabelle!$A$44:$B$140,2,FALSE)*E54*F54*-1)/O54*P54*Q54))))</f>
        <v/>
      </c>
      <c r="H54" s="16" t="n"/>
      <c r="I54" s="16" t="n"/>
      <c r="O54">
        <f>IF(C54="Personalnormkosten Arbeitnehmer",196.75,IF(C54="Personalnormkosten Beamte",195.5,IF(C54="Personalnormkosten Soldaten",208.18,"")))</f>
        <v/>
      </c>
      <c r="P54">
        <f>(($F$6-$D$6)+1)</f>
        <v/>
      </c>
      <c r="Q54">
        <f>O54/365</f>
        <v/>
      </c>
    </row>
    <row r="55" hidden="1" ht="39.95" customHeight="1" s="12" thickBot="1">
      <c r="A55" s="158">
        <f>IF(B24="","",B24)</f>
        <v/>
      </c>
      <c r="B55" s="51" t="inlineStr">
        <is>
          <t>Ausgaben für 
Bw-Material</t>
        </is>
      </c>
      <c r="C55" s="144" t="inlineStr">
        <is>
          <t>Sonstiges</t>
        </is>
      </c>
      <c r="D55" s="52" t="n"/>
      <c r="E55" s="53" t="n"/>
      <c r="F55" s="54" t="n"/>
      <c r="G55" s="55" t="n">
        <v>0</v>
      </c>
      <c r="H55" s="16" t="n"/>
      <c r="I55" s="135" t="n"/>
    </row>
    <row r="56" hidden="1" ht="39.95" customHeight="1" s="12" thickBot="1">
      <c r="A56" s="168" t="n"/>
      <c r="B56" s="173" t="inlineStr">
        <is>
          <t>Ausgaben für 
Bw-Infrastruktur</t>
        </is>
      </c>
      <c r="C56" s="144" t="inlineStr">
        <is>
          <t>Sonstiges</t>
        </is>
      </c>
      <c r="D56" s="52" t="n"/>
      <c r="E56" s="53" t="n"/>
      <c r="F56" s="54" t="n"/>
      <c r="G56" s="58" t="n">
        <v>0</v>
      </c>
      <c r="H56" s="16" t="n"/>
      <c r="I56" s="16" t="n"/>
    </row>
    <row r="57" hidden="1" ht="24.95" customHeight="1" s="12" thickBot="1">
      <c r="A57" s="168" t="n"/>
      <c r="B57" s="71" t="n"/>
      <c r="C57" s="146" t="inlineStr">
        <is>
          <t>Unterbringung seitens Bw verfügbar 
(unentgetlich)</t>
        </is>
      </c>
      <c r="D57" s="61" t="n"/>
      <c r="E57" s="62" t="n"/>
      <c r="F57" s="171" t="n"/>
      <c r="G57" s="73" t="n">
        <v>0</v>
      </c>
      <c r="H57" s="16" t="n"/>
      <c r="I57" s="16" t="n"/>
    </row>
    <row r="58" hidden="1" ht="39.95" customHeight="1" s="12" thickBot="1">
      <c r="A58" s="169" t="inlineStr">
        <is>
          <t>Leistungserbringung durch die eigene Dienststelle</t>
        </is>
      </c>
      <c r="B58" s="51" t="inlineStr">
        <is>
          <t>Ausgaben für sonstige Dienst-leistungen</t>
        </is>
      </c>
      <c r="C58" s="144" t="inlineStr">
        <is>
          <t>externe
Dienstleistung</t>
        </is>
      </c>
      <c r="D58" s="65" t="n"/>
      <c r="E58" s="53" t="n"/>
      <c r="F58" s="53" t="n"/>
      <c r="G58" s="55" t="n">
        <v>0</v>
      </c>
      <c r="H58" s="16" t="n"/>
      <c r="I58" s="16" t="n"/>
    </row>
    <row r="59" hidden="1" ht="39.95" customHeight="1" s="12" thickBot="1">
      <c r="A59" s="254" t="n"/>
      <c r="B59" s="255" t="n"/>
      <c r="C59" s="144" t="inlineStr">
        <is>
          <t>externe 
Prüfung</t>
        </is>
      </c>
      <c r="D59" s="65" t="n"/>
      <c r="E59" s="53" t="n"/>
      <c r="F59" s="53" t="n"/>
      <c r="G59" s="55" t="n">
        <v>0</v>
      </c>
      <c r="H59" s="16" t="n"/>
      <c r="I59" s="16" t="n"/>
    </row>
    <row r="60" hidden="1" ht="39.95" customHeight="1" s="12" thickBot="1">
      <c r="A60" s="254" t="n"/>
      <c r="B60" s="255" t="n"/>
      <c r="C60" s="144" t="inlineStr">
        <is>
          <t>externe 
Wartung</t>
        </is>
      </c>
      <c r="D60" s="65" t="n"/>
      <c r="E60" s="53" t="n"/>
      <c r="F60" s="53" t="n"/>
      <c r="G60" s="55" t="n">
        <v>0</v>
      </c>
      <c r="H60" s="16" t="n"/>
      <c r="I60" s="16" t="n"/>
    </row>
    <row r="61" hidden="1" ht="39.95" customHeight="1" s="12" thickBot="1">
      <c r="A61" s="254" t="n"/>
      <c r="B61" s="255" t="n"/>
      <c r="C61" s="145" t="inlineStr">
        <is>
          <t>externe 
Lizenzen</t>
        </is>
      </c>
      <c r="D61" s="65" t="n"/>
      <c r="E61" s="53" t="n"/>
      <c r="F61" s="53" t="n"/>
      <c r="G61" s="55" t="n">
        <v>0</v>
      </c>
      <c r="H61" s="16" t="n"/>
      <c r="I61" s="16" t="n"/>
    </row>
    <row r="62" hidden="1" ht="39.95" customHeight="1" s="12" thickBot="1">
      <c r="A62" s="256" t="n"/>
      <c r="B62" s="241" t="n"/>
      <c r="C62" s="144" t="inlineStr">
        <is>
          <t>Sonstiges</t>
        </is>
      </c>
      <c r="D62" s="67" t="n"/>
      <c r="E62" s="68" t="n"/>
      <c r="F62" s="69" t="n"/>
      <c r="G62" s="70" t="n">
        <v>0</v>
      </c>
      <c r="H62" s="16" t="n"/>
      <c r="I62" s="16" t="n"/>
    </row>
    <row r="63" hidden="1" ht="39.95" customHeight="1" s="12" thickBot="1">
      <c r="A63" s="38" t="n"/>
      <c r="B63" s="39" t="n"/>
      <c r="C63" s="40" t="inlineStr">
        <is>
          <t>Bezeichnung der Ausgabe</t>
        </is>
      </c>
      <c r="D63" s="40" t="inlineStr">
        <is>
          <t>Beschreibung 
der Ausgabe</t>
        </is>
      </c>
      <c r="E63" s="40" t="inlineStr">
        <is>
          <t>Anzahl</t>
        </is>
      </c>
      <c r="F63" s="118" t="inlineStr">
        <is>
          <t>VZÄ</t>
        </is>
      </c>
      <c r="G63" s="41" t="inlineStr">
        <is>
          <t>Gesamt</t>
        </is>
      </c>
      <c r="H63" s="16" t="n"/>
      <c r="I63" s="133" t="inlineStr">
        <is>
          <t>Hinweise zur Darstellung der geeigneten Optionen</t>
        </is>
      </c>
    </row>
    <row r="64" hidden="1" ht="35.1" customHeight="1" s="12">
      <c r="A64" s="42" t="n"/>
      <c r="B64" s="71" t="n"/>
      <c r="C64" s="44" t="inlineStr">
        <is>
          <t>Tagegeld</t>
        </is>
      </c>
      <c r="D64" s="74" t="n">
        <v>0</v>
      </c>
      <c r="E64" s="75" t="n">
        <v>0</v>
      </c>
      <c r="F64" s="76" t="n">
        <v>0</v>
      </c>
      <c r="G64" s="48">
        <f>IF(AND(D64=0,E64=0),F64,IF(OR(D64="",D64=0),E64*F64,IF(OR(E64="",E64=0),D64*F64,D64*E64*F64)))*-1</f>
        <v/>
      </c>
      <c r="H64" s="16" t="n"/>
      <c r="I64" s="135" t="n"/>
    </row>
    <row r="65" hidden="1" ht="39.95" customHeight="1" s="12">
      <c r="A65" s="49" t="n"/>
      <c r="B65" s="51" t="inlineStr">
        <is>
          <t>Ausgaben für 
Bw-Personal</t>
        </is>
      </c>
      <c r="C65" s="139" t="inlineStr">
        <is>
          <t>Bei Bedarf bitte auswählen</t>
        </is>
      </c>
      <c r="D65" s="130" t="inlineStr">
        <is>
          <t>Bei Bedarf bitte auswählen</t>
        </is>
      </c>
      <c r="E65" s="125" t="n">
        <v>0</v>
      </c>
      <c r="F65" s="127" t="n">
        <v>0</v>
      </c>
      <c r="G65" s="120">
        <f>IF(C65="Bei Bedarf bitte auswählen",0,IF(D65="Bei Bedarf bitte auswählen",0,IF(E65=0,0,IF(F65=0,0,(VLOOKUP(D65,Hilfstabelle!$A$44:$B$140,2,FALSE)*E65*F65*-1)/O65*P65*Q65))))</f>
        <v/>
      </c>
      <c r="H65" s="16" t="n"/>
      <c r="I65" s="135" t="n"/>
      <c r="O65">
        <f>IF(C65="Personalnormkosten Arbeitnehmer",196.75,IF(C65="Personalnormkosten Beamte",195.5,IF(C65="Personalnormkosten Soldaten",208.18,"")))</f>
        <v/>
      </c>
      <c r="P65">
        <f>(($F$6-$D$6)+1)</f>
        <v/>
      </c>
      <c r="Q65">
        <f>O65/365</f>
        <v/>
      </c>
    </row>
    <row r="66" hidden="1" ht="39.95" customHeight="1" s="12">
      <c r="A66" s="50" t="n"/>
      <c r="B66" s="255" t="n"/>
      <c r="C66" s="140" t="inlineStr">
        <is>
          <t>Bei Bedarf bitte auswählen</t>
        </is>
      </c>
      <c r="D66" s="131" t="inlineStr">
        <is>
          <t>Bei Bedarf bitte auswählen</t>
        </is>
      </c>
      <c r="E66" s="124" t="n">
        <v>0</v>
      </c>
      <c r="F66" s="128" t="n">
        <v>0</v>
      </c>
      <c r="G66" s="120">
        <f>IF(C66="Bei Bedarf bitte auswählen",0,IF(D66="Bei Bedarf bitte auswählen",0,IF(E66=0,0,IF(F66=0,0,(VLOOKUP(D66,Hilfstabelle!$A$44:$B$140,2,FALSE)*E66*F66*-1)/O66*P66*Q66))))</f>
        <v/>
      </c>
      <c r="H66" s="16" t="n"/>
      <c r="I66" s="16" t="n"/>
      <c r="O66">
        <f>IF(C66="Personalnormkosten Arbeitnehmer",196.75,IF(C66="Personalnormkosten Beamte",195.5,IF(C66="Personalnormkosten Soldaten",208.18,"")))</f>
        <v/>
      </c>
      <c r="P66">
        <f>(($F$6-$D$6)+1)</f>
        <v/>
      </c>
      <c r="Q66">
        <f>O66/365</f>
        <v/>
      </c>
    </row>
    <row r="67" hidden="1" ht="39.95" customHeight="1" s="12" thickBot="1">
      <c r="A67" s="157" t="inlineStr">
        <is>
          <t>Option</t>
        </is>
      </c>
      <c r="B67" s="241" t="n"/>
      <c r="C67" s="141" t="inlineStr">
        <is>
          <t>Bei Bedarf bitte auswählen</t>
        </is>
      </c>
      <c r="D67" s="132" t="inlineStr">
        <is>
          <t>Bei Bedarf bitte auswählen</t>
        </is>
      </c>
      <c r="E67" s="126" t="n">
        <v>0</v>
      </c>
      <c r="F67" s="129" t="n">
        <v>0</v>
      </c>
      <c r="G67" s="120">
        <f>IF(C67="Bei Bedarf bitte auswählen",0,IF(D67="Bei Bedarf bitte auswählen",0,IF(E67=0,0,IF(F67=0,0,(VLOOKUP(D67,Hilfstabelle!$A$44:$B$140,2,FALSE)*E67*F67*-1)/O67*P67*Q67))))</f>
        <v/>
      </c>
      <c r="H67" s="16" t="n"/>
      <c r="I67" s="16" t="n"/>
      <c r="O67">
        <f>IF(C67="Personalnormkosten Arbeitnehmer",196.75,IF(C67="Personalnormkosten Beamte",195.5,IF(C67="Personalnormkosten Soldaten",208.18,"")))</f>
        <v/>
      </c>
      <c r="P67">
        <f>(($F$6-$D$6)+1)</f>
        <v/>
      </c>
      <c r="Q67">
        <f>O67/365</f>
        <v/>
      </c>
    </row>
    <row r="68" hidden="1" ht="39.95" customHeight="1" s="12" thickBot="1">
      <c r="A68" s="158">
        <f>IF(B25="","",B25)</f>
        <v/>
      </c>
      <c r="B68" s="51" t="inlineStr">
        <is>
          <t>Ausgaben für 
Bw-Material</t>
        </is>
      </c>
      <c r="C68" s="144" t="inlineStr">
        <is>
          <t>Sonstiges</t>
        </is>
      </c>
      <c r="D68" s="52" t="n"/>
      <c r="E68" s="53" t="n"/>
      <c r="F68" s="54" t="n"/>
      <c r="G68" s="55" t="n">
        <v>0</v>
      </c>
      <c r="H68" s="16" t="n"/>
      <c r="I68" s="135" t="n"/>
    </row>
    <row r="69" hidden="1" ht="39.95" customHeight="1" s="12" thickBot="1">
      <c r="A69" s="168" t="n"/>
      <c r="B69" s="173" t="inlineStr">
        <is>
          <t>Ausgaben für 
Bw-Infrastruktur</t>
        </is>
      </c>
      <c r="C69" s="144" t="inlineStr">
        <is>
          <t>Sonstiges</t>
        </is>
      </c>
      <c r="D69" s="52" t="n"/>
      <c r="E69" s="53" t="n"/>
      <c r="F69" s="54" t="n"/>
      <c r="G69" s="58" t="n">
        <v>0</v>
      </c>
      <c r="H69" s="16" t="n"/>
      <c r="I69" s="16" t="n"/>
    </row>
    <row r="70" hidden="1" ht="39.95" customHeight="1" s="12" thickBot="1">
      <c r="A70" s="254" t="n"/>
      <c r="B70" s="71" t="n"/>
      <c r="C70" s="148" t="inlineStr">
        <is>
          <t>Unterbringung seitens Bw verfügbar 
(unentgetlich)</t>
        </is>
      </c>
      <c r="D70" s="61" t="n"/>
      <c r="E70" s="62" t="n"/>
      <c r="F70" s="171" t="n"/>
      <c r="G70" s="73" t="n">
        <v>0</v>
      </c>
      <c r="H70" s="16" t="n"/>
      <c r="I70" s="16" t="n"/>
    </row>
    <row r="71" hidden="1" ht="39.95" customHeight="1" s="12" thickBot="1">
      <c r="A71" s="169" t="inlineStr">
        <is>
          <t>Leistungserbringung durch die eigene Dienststelle</t>
        </is>
      </c>
      <c r="B71" s="51" t="inlineStr">
        <is>
          <t>Ausgaben für sonstige Dienst-leistungen</t>
        </is>
      </c>
      <c r="C71" s="144" t="inlineStr">
        <is>
          <t>externe
Dienstleistung</t>
        </is>
      </c>
      <c r="D71" s="65" t="n"/>
      <c r="E71" s="53" t="n"/>
      <c r="F71" s="53" t="n"/>
      <c r="G71" s="55" t="n">
        <v>0</v>
      </c>
      <c r="H71" s="16" t="n"/>
      <c r="I71" s="16" t="n"/>
    </row>
    <row r="72" hidden="1" ht="39.95" customHeight="1" s="12" thickBot="1">
      <c r="A72" s="254" t="n"/>
      <c r="B72" s="255" t="n"/>
      <c r="C72" s="144" t="inlineStr">
        <is>
          <t>externe 
Prüfung</t>
        </is>
      </c>
      <c r="D72" s="65" t="n"/>
      <c r="E72" s="53" t="n"/>
      <c r="F72" s="53" t="n"/>
      <c r="G72" s="55" t="n">
        <v>0</v>
      </c>
      <c r="H72" s="16" t="n"/>
      <c r="I72" s="16" t="n"/>
    </row>
    <row r="73" hidden="1" ht="39.95" customHeight="1" s="12" thickBot="1">
      <c r="A73" s="254" t="n"/>
      <c r="B73" s="255" t="n"/>
      <c r="C73" s="144" t="inlineStr">
        <is>
          <t>externe 
Wartung</t>
        </is>
      </c>
      <c r="D73" s="65" t="n"/>
      <c r="E73" s="53" t="n"/>
      <c r="F73" s="53" t="n"/>
      <c r="G73" s="55" t="n">
        <v>0</v>
      </c>
      <c r="H73" s="16" t="n"/>
      <c r="I73" s="16" t="n"/>
    </row>
    <row r="74" hidden="1" ht="39.95" customHeight="1" s="12" thickBot="1">
      <c r="A74" s="254" t="n"/>
      <c r="B74" s="255" t="n"/>
      <c r="C74" s="145" t="inlineStr">
        <is>
          <t>externe 
Lizenzen</t>
        </is>
      </c>
      <c r="D74" s="65" t="n"/>
      <c r="E74" s="53" t="n"/>
      <c r="F74" s="53" t="n"/>
      <c r="G74" s="55" t="n">
        <v>0</v>
      </c>
      <c r="H74" s="16" t="n"/>
      <c r="I74" s="16" t="n"/>
    </row>
    <row r="75" hidden="1" ht="39.95" customHeight="1" s="12" thickBot="1">
      <c r="A75" s="256" t="n"/>
      <c r="B75" s="241" t="n"/>
      <c r="C75" s="144" t="inlineStr">
        <is>
          <t>Sonstiges</t>
        </is>
      </c>
      <c r="D75" s="67" t="n"/>
      <c r="E75" s="68" t="n"/>
      <c r="F75" s="69" t="n"/>
      <c r="G75" s="70" t="n">
        <v>0</v>
      </c>
      <c r="H75" s="16" t="n"/>
      <c r="I75" s="16" t="n"/>
    </row>
    <row r="76" hidden="1" ht="39.95" customHeight="1" s="12" thickBot="1">
      <c r="A76" s="38" t="n"/>
      <c r="B76" s="39" t="n"/>
      <c r="C76" s="40" t="inlineStr">
        <is>
          <t>Bezeichnung der Ausgabe</t>
        </is>
      </c>
      <c r="D76" s="40" t="inlineStr">
        <is>
          <t>Beschreibung 
der Ausgabe</t>
        </is>
      </c>
      <c r="E76" s="40" t="inlineStr">
        <is>
          <t>Anzahl</t>
        </is>
      </c>
      <c r="F76" s="118" t="inlineStr">
        <is>
          <t>VZÄ</t>
        </is>
      </c>
      <c r="G76" s="41" t="inlineStr">
        <is>
          <t>Gesamt</t>
        </is>
      </c>
      <c r="H76" s="16" t="n"/>
      <c r="I76" s="133" t="inlineStr">
        <is>
          <t>Hinweise zur Darstellung der geeigneten Optionen</t>
        </is>
      </c>
    </row>
    <row r="77" hidden="1" ht="35.1" customHeight="1" s="12">
      <c r="A77" s="42" t="inlineStr">
        <is>
          <t>Option</t>
        </is>
      </c>
      <c r="B77" s="51" t="inlineStr">
        <is>
          <t>Ausgaben für 
Bw-Personal</t>
        </is>
      </c>
      <c r="C77" s="44" t="inlineStr">
        <is>
          <t>Tagegeld</t>
        </is>
      </c>
      <c r="D77" s="74" t="n">
        <v>0</v>
      </c>
      <c r="E77" s="75" t="n">
        <v>0</v>
      </c>
      <c r="F77" s="76" t="n">
        <v>0</v>
      </c>
      <c r="G77" s="48">
        <f>IF(AND(D77=0,E77=0),F77,IF(OR(D77="",D77=0),E77*F77,IF(OR(E77="",E77=0),D77*F77,D77*E77*F77)))*-1</f>
        <v/>
      </c>
      <c r="H77" s="16" t="n"/>
      <c r="I77" s="135" t="n"/>
    </row>
    <row r="78" hidden="1" collapsed="1" ht="39.95" customHeight="1" s="12">
      <c r="A78" s="49" t="n"/>
      <c r="B78" s="255" t="n"/>
      <c r="C78" s="139" t="inlineStr">
        <is>
          <t>Bei Bedarf bitte auswählen</t>
        </is>
      </c>
      <c r="D78" s="130" t="inlineStr">
        <is>
          <t>Bei Bedarf bitte auswählen</t>
        </is>
      </c>
      <c r="E78" s="125" t="n">
        <v>0</v>
      </c>
      <c r="F78" s="127" t="n">
        <v>0</v>
      </c>
      <c r="G78" s="120">
        <f>IF(C78="Bei Bedarf bitte auswählen",0,IF(D78="Bei Bedarf bitte auswählen",0,IF(E78=0,0,IF(F78=0,0,(VLOOKUP(D78,Hilfstabelle!$A$44:$B$140,2,FALSE)*E78*F78*-1)/O78*P78*Q78))))</f>
        <v/>
      </c>
      <c r="H78" s="16" t="n"/>
      <c r="I78" s="135" t="n"/>
      <c r="O78">
        <f>IF(C78="Personalnormkosten Arbeitnehmer",196.75,IF(C78="Personalnormkosten Beamte",195.5,IF(C78="Personalnormkosten Soldaten",208.18,"")))</f>
        <v/>
      </c>
      <c r="P78">
        <f>(($F$6-$D$6)+1)</f>
        <v/>
      </c>
      <c r="Q78">
        <f>O78/365</f>
        <v/>
      </c>
    </row>
    <row r="79" hidden="1" ht="39.95" customHeight="1" s="12">
      <c r="A79" s="50" t="n"/>
      <c r="B79" s="255" t="n"/>
      <c r="C79" s="140" t="inlineStr">
        <is>
          <t>Bei Bedarf bitte auswählen</t>
        </is>
      </c>
      <c r="D79" s="131" t="inlineStr">
        <is>
          <t>Bei Bedarf bitte auswählen</t>
        </is>
      </c>
      <c r="E79" s="124" t="n">
        <v>0</v>
      </c>
      <c r="F79" s="128" t="n">
        <v>0</v>
      </c>
      <c r="G79" s="120">
        <f>IF(C79="Bei Bedarf bitte auswählen",0,IF(D79="Bei Bedarf bitte auswählen",0,IF(E79=0,0,IF(F79=0,0,(VLOOKUP(D79,Hilfstabelle!$A$44:$B$140,2,FALSE)*E79*F79*-1)/O79*P79*Q79))))</f>
        <v/>
      </c>
      <c r="H79" s="16" t="n"/>
      <c r="I79" s="16" t="n"/>
      <c r="O79">
        <f>IF(C79="Personalnormkosten Arbeitnehmer",196.75,IF(C79="Personalnormkosten Beamte",195.5,IF(C79="Personalnormkosten Soldaten",208.18,"")))</f>
        <v/>
      </c>
      <c r="P79">
        <f>(($F$6-$D$6)+1)</f>
        <v/>
      </c>
      <c r="Q79">
        <f>O79/365</f>
        <v/>
      </c>
    </row>
    <row r="80" hidden="1" ht="39.95" customHeight="1" s="12" thickBot="1">
      <c r="A80" s="157" t="inlineStr">
        <is>
          <t>Option</t>
        </is>
      </c>
      <c r="B80" s="241" t="n"/>
      <c r="C80" s="141" t="inlineStr">
        <is>
          <t>Bei Bedarf bitte auswählen</t>
        </is>
      </c>
      <c r="D80" s="132" t="inlineStr">
        <is>
          <t>Bei Bedarf bitte auswählen</t>
        </is>
      </c>
      <c r="E80" s="126" t="n">
        <v>0</v>
      </c>
      <c r="F80" s="129" t="n">
        <v>0</v>
      </c>
      <c r="G80" s="120">
        <f>IF(C80="Bei Bedarf bitte auswählen",0,IF(D80="Bei Bedarf bitte auswählen",0,IF(E80=0,0,IF(F80=0,0,(VLOOKUP(D80,Hilfstabelle!$A$44:$B$140,2,FALSE)*E80*F80*-1)/O80*P80*Q80))))</f>
        <v/>
      </c>
      <c r="H80" s="16" t="n"/>
      <c r="I80" s="16" t="n"/>
      <c r="O80">
        <f>IF(C80="Personalnormkosten Arbeitnehmer",196.75,IF(C80="Personalnormkosten Beamte",195.5,IF(C80="Personalnormkosten Soldaten",208.18,"")))</f>
        <v/>
      </c>
      <c r="P80">
        <f>(($F$6-$D$6)+1)</f>
        <v/>
      </c>
      <c r="Q80">
        <f>O80/365</f>
        <v/>
      </c>
    </row>
    <row r="81" hidden="1" ht="39.95" customHeight="1" s="12" thickBot="1">
      <c r="A81" s="158">
        <f>IF(B26="","",B26)</f>
        <v/>
      </c>
      <c r="B81" s="51" t="inlineStr">
        <is>
          <t>Ausgaben für 
Bw-Material</t>
        </is>
      </c>
      <c r="C81" s="144" t="inlineStr">
        <is>
          <t>Sonstiges</t>
        </is>
      </c>
      <c r="D81" s="52" t="n"/>
      <c r="E81" s="53" t="n"/>
      <c r="F81" s="54" t="n"/>
      <c r="G81" s="55" t="n">
        <v>0</v>
      </c>
      <c r="H81" s="16" t="n"/>
      <c r="I81" s="135" t="n"/>
    </row>
    <row r="82" hidden="1" ht="39.95" customHeight="1" s="12" thickBot="1">
      <c r="A82" s="168" t="n"/>
      <c r="B82" s="173" t="inlineStr">
        <is>
          <t>Ausgaben für 
Bw-Infrastruktur</t>
        </is>
      </c>
      <c r="C82" s="144" t="inlineStr">
        <is>
          <t>Sonstiges</t>
        </is>
      </c>
      <c r="D82" s="52" t="n"/>
      <c r="E82" s="53" t="n"/>
      <c r="F82" s="54" t="n"/>
      <c r="G82" s="58" t="n">
        <v>0</v>
      </c>
      <c r="H82" s="16" t="n"/>
      <c r="I82" s="16" t="n"/>
    </row>
    <row r="83" hidden="1" ht="39.95" customHeight="1" s="12" thickBot="1">
      <c r="A83" s="254" t="n"/>
      <c r="B83" s="59" t="n"/>
      <c r="C83" s="146" t="inlineStr">
        <is>
          <t>Unterbringung seitens Bw verfügbar 
(unentgetlich)</t>
        </is>
      </c>
      <c r="D83" s="77" t="n"/>
      <c r="E83" s="62" t="n"/>
      <c r="F83" s="171" t="n"/>
      <c r="G83" s="73" t="n">
        <v>0</v>
      </c>
      <c r="H83" s="16" t="n"/>
      <c r="I83" s="16" t="n"/>
    </row>
    <row r="84" hidden="1" ht="39.95" customHeight="1" s="12" thickBot="1">
      <c r="A84" s="169" t="inlineStr">
        <is>
          <t>Leistungserbringung durch die eigene Dienststelle</t>
        </is>
      </c>
      <c r="B84" s="51" t="inlineStr">
        <is>
          <t>Ausgaben für sonstige Dienst-leistungen</t>
        </is>
      </c>
      <c r="C84" s="144" t="inlineStr">
        <is>
          <t>externe
Dienstleistung</t>
        </is>
      </c>
      <c r="D84" s="65" t="inlineStr">
        <is>
          <t>Externe Dienstleistung</t>
        </is>
      </c>
      <c r="E84" s="53" t="n"/>
      <c r="F84" s="53" t="n"/>
      <c r="G84" s="55" t="n">
        <v>-4000</v>
      </c>
      <c r="H84" s="16" t="n"/>
      <c r="I84" s="16" t="n"/>
    </row>
    <row r="85" hidden="1" ht="39.95" customHeight="1" s="12" thickBot="1">
      <c r="A85" s="254" t="n"/>
      <c r="B85" s="255" t="n"/>
      <c r="C85" s="144" t="inlineStr">
        <is>
          <t>externe 
Prüfung</t>
        </is>
      </c>
      <c r="D85" s="65" t="n"/>
      <c r="E85" s="53" t="n"/>
      <c r="F85" s="53" t="n"/>
      <c r="G85" s="55" t="n">
        <v>0</v>
      </c>
      <c r="H85" s="16" t="n"/>
      <c r="I85" s="16" t="n"/>
    </row>
    <row r="86" hidden="1" ht="39.95" customHeight="1" s="12" thickBot="1">
      <c r="A86" s="254" t="n"/>
      <c r="B86" s="255" t="n"/>
      <c r="C86" s="144" t="inlineStr">
        <is>
          <t>externe 
Wartung</t>
        </is>
      </c>
      <c r="D86" s="65" t="n"/>
      <c r="E86" s="53" t="n"/>
      <c r="F86" s="53" t="n"/>
      <c r="G86" s="55" t="n">
        <v>0</v>
      </c>
      <c r="H86" s="16" t="n"/>
      <c r="I86" s="16" t="n"/>
    </row>
    <row r="87" hidden="1" ht="39.95" customHeight="1" s="12" thickBot="1">
      <c r="A87" s="254" t="n"/>
      <c r="B87" s="255" t="n"/>
      <c r="C87" s="145" t="inlineStr">
        <is>
          <t>externe 
Lizenzen</t>
        </is>
      </c>
      <c r="D87" s="65" t="n"/>
      <c r="E87" s="53" t="n"/>
      <c r="F87" s="53" t="n"/>
      <c r="G87" s="55" t="n">
        <v>0</v>
      </c>
      <c r="H87" s="16" t="n"/>
      <c r="I87" s="16" t="n"/>
    </row>
    <row r="88" hidden="1" ht="39.95" customHeight="1" s="12" thickBot="1">
      <c r="A88" s="256" t="n"/>
      <c r="B88" s="241" t="n"/>
      <c r="C88" s="144" t="inlineStr">
        <is>
          <t>Sonstiges</t>
        </is>
      </c>
      <c r="D88" s="67" t="n"/>
      <c r="E88" s="68" t="n"/>
      <c r="F88" s="69" t="n"/>
      <c r="G88" s="70" t="n">
        <v>0</v>
      </c>
      <c r="H88" s="16" t="n"/>
      <c r="I88" s="16" t="n"/>
    </row>
    <row r="89" ht="20.1" customHeight="1" s="12" thickBot="1">
      <c r="A89" s="242" t="inlineStr">
        <is>
          <t>4. Berechnung der Optionen (ohne Risiko)</t>
        </is>
      </c>
      <c r="B89" s="236" t="n"/>
      <c r="C89" s="236" t="n"/>
      <c r="D89" s="236" t="n"/>
      <c r="E89" s="236" t="n"/>
      <c r="F89" s="236" t="n"/>
      <c r="G89" s="237" t="n"/>
      <c r="H89" s="16" t="n"/>
      <c r="I89" s="16" t="n"/>
    </row>
    <row r="90" hidden="1" ht="15" customHeight="1" s="12" thickBot="1">
      <c r="A90" s="257" t="inlineStr">
        <is>
          <t>Option</t>
        </is>
      </c>
      <c r="B90" s="236" t="n"/>
      <c r="C90" s="237" t="n"/>
      <c r="D90" s="66">
        <f>IF(B$23="","",B$23)</f>
        <v/>
      </c>
      <c r="E90" s="66">
        <f>IF(B24="","",B24)</f>
        <v/>
      </c>
      <c r="F90" s="66">
        <f>IF(B25="","",B25)</f>
        <v/>
      </c>
      <c r="G90" s="78">
        <f>IF(B26="","",B26)</f>
        <v/>
      </c>
      <c r="H90" s="16" t="n"/>
      <c r="I90" s="16" t="n"/>
    </row>
    <row r="91" hidden="1" ht="24" customHeight="1" s="12">
      <c r="A91" s="79" t="n"/>
      <c r="B91" s="80" t="n"/>
      <c r="C91" s="81" t="inlineStr">
        <is>
          <t>Tagegeld</t>
        </is>
      </c>
      <c r="D91" s="82">
        <f>IF(G38&lt;0,G38,"")</f>
        <v/>
      </c>
      <c r="E91" s="82">
        <f>IF(G51&lt;0,G51,"")</f>
        <v/>
      </c>
      <c r="F91" s="82">
        <f>IF(G64&lt;0,G64,"")</f>
        <v/>
      </c>
      <c r="G91" s="83">
        <f>IF(G77&lt;0,G77,"")</f>
        <v/>
      </c>
      <c r="H91" s="16" t="n"/>
      <c r="I91" s="16" t="n"/>
    </row>
    <row r="92" hidden="1" ht="24" customHeight="1" s="12">
      <c r="A92" s="84" t="n"/>
      <c r="B92" s="85" t="n"/>
      <c r="C92" s="86" t="inlineStr">
        <is>
          <t>Transport</t>
        </is>
      </c>
      <c r="D92" s="87">
        <f>IF(G39&lt;0,G39,"")</f>
        <v/>
      </c>
      <c r="E92" s="87">
        <f>IF(G52&lt;0,G52,"")</f>
        <v/>
      </c>
      <c r="F92" s="88">
        <f>IF(G65&lt;0,G65,"")</f>
        <v/>
      </c>
      <c r="G92" s="89">
        <f>IF(G78&lt;0,G78,"")</f>
        <v/>
      </c>
      <c r="H92" s="16" t="n"/>
      <c r="I92" s="16" t="n"/>
    </row>
    <row r="93" hidden="1" ht="24" customHeight="1" s="12" thickBot="1">
      <c r="A93" s="84" t="n"/>
      <c r="B93" s="85" t="n"/>
      <c r="C93" s="90" t="inlineStr">
        <is>
          <t>externe 
Unterbringung</t>
        </is>
      </c>
      <c r="D93" s="91">
        <f>IF(G40&lt;0,G40,"")</f>
        <v/>
      </c>
      <c r="E93" s="91">
        <f>IF(G53&lt;0,G53,"")</f>
        <v/>
      </c>
      <c r="F93" s="92">
        <f>IF(G66&lt;0,G66,"")</f>
        <v/>
      </c>
      <c r="G93" s="93">
        <f>IF(G79&lt;0,G79,"")</f>
        <v/>
      </c>
      <c r="H93" s="16" t="n"/>
      <c r="I93" s="16" t="n"/>
    </row>
    <row r="94" hidden="1" ht="35.1" customHeight="1" s="12" thickBot="1">
      <c r="A94" s="94" t="inlineStr">
        <is>
          <t>Ausgaben für 
Bw-Personal</t>
        </is>
      </c>
      <c r="B94" s="18" t="n"/>
      <c r="C94" s="95" t="inlineStr">
        <is>
          <t>Personalnorm-kosten</t>
        </is>
      </c>
      <c r="D94" s="96">
        <f>IF(SUM(G39:G41)=0,"",IF(SUM(G39:G41)="","",(G39+G40+G41)))</f>
        <v/>
      </c>
      <c r="E94" s="96">
        <f>IF(SUM(G52:G54)=0,"",IF(SUM(G52:G54)="","",(G52+G53+G54)))</f>
        <v/>
      </c>
      <c r="F94" s="96">
        <f>IF(SUM(G65:G67)=0,"",IF(SUM(G65:G67)="","",(G65+G66+G67)))</f>
        <v/>
      </c>
      <c r="G94" s="96">
        <f>IF(SUM(G78:G80)=0,"",IF(SUM(G78:G80)="","",(G78+G79+G80)))</f>
        <v/>
      </c>
      <c r="H94" s="16" t="n"/>
      <c r="I94" s="16" t="n"/>
    </row>
    <row r="95" hidden="1" ht="35.1" customHeight="1" s="12" thickBot="1">
      <c r="A95" s="94" t="inlineStr">
        <is>
          <t>Ausgaben für 
Bw-Material</t>
        </is>
      </c>
      <c r="B95" s="18" t="n"/>
      <c r="C95" s="149" t="inlineStr">
        <is>
          <t>Sonstiges</t>
        </is>
      </c>
      <c r="D95" s="97">
        <f>IF(G42=0,"",IF(G42="","",IF(G42&gt;0,G42*-1,G42)))</f>
        <v/>
      </c>
      <c r="E95" s="97">
        <f>IF(G55=0,"",IF(G55="","",IF(G55&gt;0,G55*-1,G55)))</f>
        <v/>
      </c>
      <c r="F95" s="97">
        <f>IF(G68=0,"",IF(G68="","",IF(G68&gt;0,G68*-1,G68)))</f>
        <v/>
      </c>
      <c r="G95" s="97">
        <f>IF(G81=0,"",IF(G81="","",IF(G81&gt;0,G81*-1,G81)))</f>
        <v/>
      </c>
      <c r="H95" s="16" t="n"/>
      <c r="I95" s="16" t="n"/>
    </row>
    <row r="96" hidden="1" ht="35.1" customHeight="1" s="12" thickBot="1">
      <c r="A96" s="94" t="inlineStr">
        <is>
          <t>Ausgaben für 
Bw-Infrastruktur</t>
        </is>
      </c>
      <c r="B96" s="18" t="n"/>
      <c r="C96" s="149" t="inlineStr">
        <is>
          <t>Sonstiges</t>
        </is>
      </c>
      <c r="D96" s="97">
        <f>IF(G43=0,"",IF(G43="","",IF(G43&gt;0,G43*-1,G43)))</f>
        <v/>
      </c>
      <c r="E96" s="97">
        <f>IF(G56=0,"",IF(G56="","",IF(G56&gt;0,G56*-1,G56)))</f>
        <v/>
      </c>
      <c r="F96" s="97">
        <f>IF(G69=0,"",IF(G69="","",IF(G69&gt;0,G69*-1,G69)))</f>
        <v/>
      </c>
      <c r="G96" s="97">
        <f>IF(G82=0,"",IF(G82="","",IF(G82&gt;0,G82*-1,G82)))</f>
        <v/>
      </c>
      <c r="H96" s="16" t="n"/>
      <c r="I96" s="16" t="n"/>
    </row>
    <row r="97" hidden="1" ht="35.1" customHeight="1" s="12" thickBot="1">
      <c r="A97" s="98" t="n"/>
      <c r="B97" s="99" t="n"/>
      <c r="C97" s="149" t="inlineStr">
        <is>
          <t>interne
Unterbringung</t>
        </is>
      </c>
      <c r="D97" s="97">
        <f>IF(G44=0,"",IF(G44="","",IF(G44&gt;0,G44*-1,G44)))</f>
        <v/>
      </c>
      <c r="E97" s="92">
        <f>IF(G57=0,"",IF(G57="","",IF(G57&gt;0,G57*-1,G57)))</f>
        <v/>
      </c>
      <c r="F97" s="92">
        <f>IF(G70=0,"",IF(G70="","",IF(G70&gt;0,G70*-1,G70)))</f>
        <v/>
      </c>
      <c r="G97" s="92">
        <f>IF(G83=0,"",IF(G83="","",IF(G83&gt;0,G83*-1,G83)))</f>
        <v/>
      </c>
      <c r="H97" s="16" t="n"/>
      <c r="I97" s="16" t="n"/>
    </row>
    <row r="98" hidden="1" ht="35.1" customHeight="1" s="12">
      <c r="A98" s="258" t="inlineStr">
        <is>
          <t>Ausgaben für 
sonstige Dienstleistungen</t>
        </is>
      </c>
      <c r="B98" s="259" t="n"/>
      <c r="C98" s="139" t="inlineStr">
        <is>
          <t>externe
Dienstleistung</t>
        </is>
      </c>
      <c r="D98" s="100">
        <f>IF(G45=0,"",IF(G45="","",IF(G45&gt;0,G45*-1,G45)))</f>
        <v/>
      </c>
      <c r="E98" s="100">
        <f>IF(G58=0,"",IF(G58="","",IF(G58&gt;0,G58*-1,G58)))</f>
        <v/>
      </c>
      <c r="F98" s="100">
        <f>IF(G71=0,"",IF(G71="","",IF(G71&gt;0,G71*-1,G71)))</f>
        <v/>
      </c>
      <c r="G98" s="100">
        <f>IF(G84=0,"",IF(G84="","",IF(G84&gt;0,G84*-1,G84)))</f>
        <v/>
      </c>
      <c r="H98" s="16" t="n"/>
      <c r="I98" s="16" t="n"/>
    </row>
    <row r="99" hidden="1" ht="35.1" customHeight="1" s="12">
      <c r="A99" s="260" t="n"/>
      <c r="B99" s="261" t="n"/>
      <c r="C99" s="150" t="inlineStr">
        <is>
          <t>externe 
Prüfung</t>
        </is>
      </c>
      <c r="D99" s="101">
        <f>IF(G46=0,"",IF(G46="","",IF(G46&gt;0,G46*-1,G46)))</f>
        <v/>
      </c>
      <c r="E99" s="101">
        <f>IF(G59=0,"",IF(G59="","",IF(G59&gt;0,G59*-1,G59)))</f>
        <v/>
      </c>
      <c r="F99" s="101">
        <f>IF(G72=0,"",IF(G72="","",IF(G72&gt;0,G72*-1,G72)))</f>
        <v/>
      </c>
      <c r="G99" s="101">
        <f>IF(G85=0,"",IF(G85="","",IF(G85&gt;0,G85*-1,G85)))</f>
        <v/>
      </c>
      <c r="H99" s="16" t="n"/>
      <c r="I99" s="16" t="n"/>
    </row>
    <row r="100" hidden="1" ht="35.1" customHeight="1" s="12">
      <c r="A100" s="260" t="n"/>
      <c r="B100" s="261" t="n"/>
      <c r="C100" s="150" t="inlineStr">
        <is>
          <t>externe 
Wartung</t>
        </is>
      </c>
      <c r="D100" s="101">
        <f>IF(G47=0,"",IF(G47="","",IF(G47&gt;0,G47*-1,G47)))</f>
        <v/>
      </c>
      <c r="E100" s="101">
        <f>IF(G60=0,"",IF(G60="","",IF(G60&gt;0,G60*-1,G60)))</f>
        <v/>
      </c>
      <c r="F100" s="101">
        <f>IF(G73=0,"",IF(G73="","",IF(G73&gt;0,G73*-1,G73)))</f>
        <v/>
      </c>
      <c r="G100" s="101">
        <f>IF(G86=0,"",IF(G86="","",IF(G86&gt;0,G86*-1,G86)))</f>
        <v/>
      </c>
      <c r="H100" s="16" t="n"/>
      <c r="I100" s="16" t="n"/>
    </row>
    <row r="101" hidden="1" ht="35.1" customHeight="1" s="12">
      <c r="A101" s="260" t="n"/>
      <c r="B101" s="261" t="n"/>
      <c r="C101" s="151" t="inlineStr">
        <is>
          <t>externe 
Lizenzen</t>
        </is>
      </c>
      <c r="D101" s="101">
        <f>IF(G48=0,"",IF(G48="","",IF(G48&gt;0,G48*-1,G48)))</f>
        <v/>
      </c>
      <c r="E101" s="101">
        <f>IF(G61=0,"",IF(G61="","",IF(G61&gt;0,G61*-1,G61)))</f>
        <v/>
      </c>
      <c r="F101" s="101">
        <f>IF(G74=0,"",IF(G74="","",IF(G74&gt;0,G74*-1,G74)))</f>
        <v/>
      </c>
      <c r="G101" s="101">
        <f>IF(G87=0,"",IF(G87="","",IF(G87&gt;0,G87*-1,G87)))</f>
        <v/>
      </c>
      <c r="H101" s="16" t="n"/>
      <c r="I101" s="16" t="n"/>
    </row>
    <row r="102" hidden="1" ht="35.1" customHeight="1" s="12" thickBot="1">
      <c r="A102" s="262" t="n"/>
      <c r="B102" s="244" t="n"/>
      <c r="C102" s="149" t="inlineStr">
        <is>
          <t>Sonstiges</t>
        </is>
      </c>
      <c r="D102" s="102">
        <f>IF(G49=0,"",IF(G49="","",IF(G49&gt;0,G49*-1,G49)))</f>
        <v/>
      </c>
      <c r="E102" s="102">
        <f>IF(G62=0,"",IF(G62="","",IF(G62&gt;0,G62*-1,G62)))</f>
        <v/>
      </c>
      <c r="F102" s="102">
        <f>IF(G75=0,"",IF(G75="","",IF(G75&gt;0,G75*-1,G75)))</f>
        <v/>
      </c>
      <c r="G102" s="102">
        <f>IF(G88=0,"",IF(G88="","",IF(G88&gt;0,G88*-1,G88)))</f>
        <v/>
      </c>
      <c r="H102" s="16" t="n"/>
      <c r="I102" s="16" t="n"/>
    </row>
    <row r="103" hidden="1" ht="15.75" customHeight="1" s="12" thickBot="1">
      <c r="A103" s="216" t="inlineStr">
        <is>
          <t>Gesamtsumme (ohne Risiko)</t>
        </is>
      </c>
      <c r="B103" s="263" t="n"/>
      <c r="C103" s="263" t="n"/>
      <c r="D103" s="103">
        <f>IF(SUM(D94:D102)&lt;0,SUM(D94:D102),"")</f>
        <v/>
      </c>
      <c r="E103" s="103">
        <f>IF(SUM(E94:E102)&lt;0,SUM(E94:E102),"")</f>
        <v/>
      </c>
      <c r="F103" s="103">
        <f>IF(SUM(F94:F102)&lt;0,SUM(F94:F102),"")</f>
        <v/>
      </c>
      <c r="G103" s="103">
        <f>IF(SUM(G94:G102)&lt;0,SUM(G94:G102),"")</f>
        <v/>
      </c>
      <c r="H103" s="16" t="n"/>
      <c r="I103" s="16" t="n"/>
    </row>
    <row r="104" ht="20.1" customHeight="1" s="12" thickBot="1">
      <c r="A104" s="242" t="inlineStr">
        <is>
          <t>5. Risikoberücksichtigung</t>
        </is>
      </c>
      <c r="B104" s="236" t="n"/>
      <c r="C104" s="236" t="n"/>
      <c r="D104" s="236" t="n"/>
      <c r="E104" s="236" t="n"/>
      <c r="F104" s="236" t="n"/>
      <c r="G104" s="237" t="n"/>
      <c r="H104" s="16" t="n"/>
      <c r="I104" s="16" t="n"/>
    </row>
    <row r="105" hidden="1" ht="42.75" customHeight="1" s="12" thickBot="1">
      <c r="A105" s="104" t="n"/>
      <c r="B105" s="226" t="inlineStr">
        <is>
          <t>Kein Risiko berücksichtigt</t>
        </is>
      </c>
      <c r="C105" s="236" t="n"/>
      <c r="D105" s="236" t="n"/>
      <c r="E105" s="237" t="n"/>
      <c r="F105" s="66" t="inlineStr">
        <is>
          <t>Schadenshöhe</t>
        </is>
      </c>
      <c r="G105" s="41" t="inlineStr">
        <is>
          <t>Eintritts-wahrschein-lichkeit</t>
        </is>
      </c>
      <c r="H105" s="16" t="n"/>
      <c r="I105" s="133" t="inlineStr">
        <is>
          <t>Hinweise zur Riskobetrachtung</t>
        </is>
      </c>
    </row>
    <row r="106" hidden="1" ht="52.5" customHeight="1" s="12" thickBot="1">
      <c r="A106" s="264" t="inlineStr">
        <is>
          <t>Option/-en:
Es kann zum Ausfall des Leistungserbringers kommen. 
Dadurch würden folgende Ausgaben entstehen:</t>
        </is>
      </c>
      <c r="B106" s="236" t="n"/>
      <c r="C106" s="236" t="n"/>
      <c r="D106" s="236" t="n"/>
      <c r="E106" s="237" t="n"/>
      <c r="F106" s="105" t="n">
        <v>500</v>
      </c>
      <c r="G106" s="106" t="n">
        <v>0.05</v>
      </c>
      <c r="H106" s="16" t="n"/>
      <c r="I106" s="136" t="n"/>
    </row>
    <row r="107" hidden="1" ht="52.5" customHeight="1" s="12" thickBot="1">
      <c r="A107" s="264" t="inlineStr">
        <is>
          <t>Option/-en:
Es kann zum Ausfall der Leistungserbringung kommen. 
Dadurch würden folgende Ausgaben entstehen:</t>
        </is>
      </c>
      <c r="B107" s="236" t="n"/>
      <c r="C107" s="236" t="n"/>
      <c r="D107" s="236" t="n"/>
      <c r="E107" s="237" t="n"/>
      <c r="F107" s="105" t="n">
        <v>200</v>
      </c>
      <c r="G107" s="106" t="n">
        <v>0.1</v>
      </c>
      <c r="H107" s="16" t="n"/>
      <c r="I107" s="16" t="n"/>
    </row>
    <row r="108" ht="20.1" customHeight="1" s="12" thickBot="1">
      <c r="A108" s="242" t="inlineStr">
        <is>
          <t>6. Berechnung der Optionen (mit Risiko)</t>
        </is>
      </c>
      <c r="B108" s="236" t="n"/>
      <c r="C108" s="236" t="n"/>
      <c r="D108" s="236" t="n"/>
      <c r="E108" s="236" t="n"/>
      <c r="F108" s="236" t="n"/>
      <c r="G108" s="237" t="n"/>
      <c r="H108" s="16" t="n"/>
      <c r="I108" s="16" t="n"/>
    </row>
    <row r="109" hidden="1" ht="15.75" customHeight="1" s="12" thickBot="1">
      <c r="A109" s="216" t="inlineStr">
        <is>
          <t>Gesamtsumme ohne Risiko (Vgl. 4.)</t>
        </is>
      </c>
      <c r="B109" s="263" t="n"/>
      <c r="C109" s="263" t="n"/>
      <c r="D109" s="103">
        <f>D103</f>
        <v/>
      </c>
      <c r="E109" s="103">
        <f>E103</f>
        <v/>
      </c>
      <c r="F109" s="103">
        <f>F103</f>
        <v/>
      </c>
      <c r="G109" s="103">
        <f>G103</f>
        <v/>
      </c>
      <c r="H109" s="16" t="n"/>
      <c r="I109" s="16" t="n"/>
    </row>
    <row r="110" hidden="1" ht="24" customHeight="1" s="12" thickBot="1">
      <c r="A110" s="31" t="inlineStr">
        <is>
          <t>Berücksichtigung
Risiken</t>
        </is>
      </c>
      <c r="B110" s="265" t="n"/>
      <c r="C110" s="107" t="inlineStr">
        <is>
          <t>Risiko 1</t>
        </is>
      </c>
      <c r="D110" s="110">
        <f>IF($D$109="","",IF(AND(L106="",$F$106=0,$G$106=0),"",IF(AND($F$106=0,$G$106=0),"",IF(AND(L106="wahr",$F$106&gt;0),($F$106*$G$106)*-1,IF(AND(L106="wahr",$F$106&lt;0),$F$106*$G$106,"")))))</f>
        <v/>
      </c>
      <c r="E110" s="110">
        <f>IF($E$109="","",IF(AND(M106="",$F$106=0,$G$106=0),"",IF(AND($F$106=0,$G$106=0),"",IF(AND(M106="wahr",$F$106&gt;0),($F$106*$G$106)*-1,IF(AND(M106="wahr",$F$106&lt;0),$F$106*$G$106,"")))))</f>
        <v/>
      </c>
      <c r="F110" s="110">
        <f>IF($F$109="","",IF(AND(J106="",$F$106=0,$G$107=0),"",IF(AND($F$106=0,$G$106=0),"",IF(AND(J106="wahr",$F$106&gt;0),($F$106*$G$106)*-1,IF(AND(J106="wahr",$F$106&lt;0),$F$106*$G$106,"")))))</f>
        <v/>
      </c>
      <c r="G110" s="108">
        <f>IF($G$109="","",IF(AND(K106="",$F$106=0,$G$106=0),"",IF(AND($F$106=0,$G$106=0),"",IF(AND(K106="wahr",$F$106&gt;0),($F$106*$G$106)*-1,IF(AND(K106="wahr",$F$106&lt;0),$F$106*$G$106,"")))))</f>
        <v/>
      </c>
      <c r="H110" s="16" t="n"/>
      <c r="I110" s="16" t="n"/>
    </row>
    <row r="111" hidden="1" ht="24" customHeight="1" s="12" thickBot="1">
      <c r="A111" s="262" t="n"/>
      <c r="B111" s="245" t="n"/>
      <c r="C111" s="109" t="inlineStr">
        <is>
          <t>Risiko 2</t>
        </is>
      </c>
      <c r="D111" s="110">
        <f>IF($D$109="","",IF(AND(L107="",$F$107=0,$G$107=0),"",IF(AND($F$107=0,$G$107=0),"",IF(AND(L107="wahr",$F$107&gt;0),($F$107*$G$107)*-1,IF(AND(L107="wahr",$F$107&lt;0),$F$107*$G$107,"")))))</f>
        <v/>
      </c>
      <c r="E111" s="110">
        <f>IF($E$109="","",IF(AND(M107="",$F$107=0,$G$107=0),"",IF(AND($F$107=0,$G$107=0),"",IF(AND(M107="wahr",$F$107&gt;0),($F$107*$G$107)*-1,IF(AND(M107="wahr",$F$107&lt;0),$F$107*$G$107,"")))))</f>
        <v/>
      </c>
      <c r="F111" s="110">
        <f>IF($F$109="","",IF(AND(J107="",$F$107=0,$G$107=0),"",IF(AND($F$107=0,$G$107=0),"",IF(AND(J107="wahr",$F$107&gt;0),($F$107*$G$107)*-1,IF(AND(J107="wahr",$F$107&lt;0),$F$107*$G$107,"")))))</f>
        <v/>
      </c>
      <c r="G111" s="108">
        <f>IF($G$109="","",IF(AND(K107="",$F$107=0,$G$107=0),"",IF(AND($F$107=0,$G$107=0),"",IF(AND(K107="wahr",$F$107&gt;0),($F$107*$G$107)*-1,IF(AND(K107="wahr",$F$107&lt;0),$F$107*$G$107,"")))))</f>
        <v/>
      </c>
      <c r="H111" s="16" t="n"/>
      <c r="I111" s="16" t="n"/>
    </row>
    <row r="112" hidden="1" ht="15.75" customHeight="1" s="12" thickBot="1">
      <c r="A112" s="216" t="inlineStr">
        <is>
          <t>Gesamtsumme mit Risiko</t>
        </is>
      </c>
      <c r="B112" s="263" t="n"/>
      <c r="C112" s="263" t="n"/>
      <c r="D112" s="111">
        <f>IF(D109="","",SUM(D109:D111))</f>
        <v/>
      </c>
      <c r="E112" s="111">
        <f>IF(E109="","",SUM(E109:E111))</f>
        <v/>
      </c>
      <c r="F112" s="111">
        <f>IF(F109="","",SUM(F109:F111))</f>
        <v/>
      </c>
      <c r="G112" s="111">
        <f>IF(G109="","",SUM(G109:G111))</f>
        <v/>
      </c>
      <c r="H112" s="16" t="n"/>
      <c r="I112" s="16" t="n"/>
    </row>
    <row r="113" ht="20.1" customHeight="1" s="12" thickBot="1">
      <c r="A113" s="242" t="inlineStr">
        <is>
          <t>7. Entscheidungsvorschlag</t>
        </is>
      </c>
      <c r="B113" s="236" t="n"/>
      <c r="C113" s="236" t="n"/>
      <c r="D113" s="236" t="n"/>
      <c r="E113" s="236" t="n"/>
      <c r="F113" s="236" t="n"/>
      <c r="G113" s="237" t="n"/>
      <c r="H113" s="16" t="n"/>
      <c r="I113" s="16" t="n"/>
    </row>
    <row r="114" hidden="1" ht="48" customHeight="1" s="12" thickBot="1">
      <c r="A114" s="266" t="inlineStr">
        <is>
          <t>Die wirtschaftlichste Option, die den Bedarf deckt, die Rahmenbedingungen erfüllt und deren Einleitung zur Vergabe empfohlen wird, ist:
(und beinhaltet Ausgaben inklusive Risikowert)</t>
        </is>
      </c>
      <c r="B114" s="236" t="n"/>
      <c r="C114" s="236" t="n"/>
      <c r="D114" s="236" t="n"/>
      <c r="E114" s="237" t="n"/>
      <c r="F114" s="267">
        <f>IF(G114=0,"",IF(G114="","",IF(H1=D112,D90,IF(H1=E112,E90,IF(H1=F112,F90,IF(H1=G112,G90,""))))))</f>
        <v/>
      </c>
      <c r="G114" s="113">
        <f>IF(AND(D112="",E112="",F112="",G112="",D103="",E103="",F103="",G103=""),"",IF(AND(D112="",E112="",F112="",G112=""),IF(MIN(D103:G103)&lt;0,MAX(D103:G103),""),IF(MIN(D112:G112)&lt;0,MAX(D112:G112),"")))</f>
        <v/>
      </c>
      <c r="H114" s="16" t="n"/>
      <c r="I114" s="16" t="n"/>
    </row>
    <row r="115" hidden="1" ht="23.25" customHeight="1" s="12" thickBot="1">
      <c r="A115" s="220" t="inlineStr">
        <is>
          <t>Bezeichnung der Option:</t>
        </is>
      </c>
      <c r="B115" s="236" t="n"/>
      <c r="C115" s="219" t="inlineStr">
        <is>
          <t>Option 4</t>
        </is>
      </c>
      <c r="D115" s="236" t="n"/>
      <c r="E115" s="236" t="n"/>
      <c r="F115" s="236" t="n"/>
      <c r="G115" s="237" t="n"/>
      <c r="H115" s="16" t="n"/>
      <c r="I115" s="16" t="n"/>
    </row>
    <row r="116" ht="20.1" customHeight="1" s="12" thickBot="1">
      <c r="A116" s="242" t="inlineStr">
        <is>
          <t>Option 4 guenstiger.</t>
        </is>
      </c>
      <c r="B116" s="236" t="n"/>
      <c r="C116" s="236" t="n"/>
      <c r="D116" s="236" t="n"/>
      <c r="E116" s="236" t="n"/>
      <c r="F116" s="236" t="n"/>
      <c r="G116" s="237" t="n"/>
      <c r="H116" s="16" t="n"/>
      <c r="I116" s="16" t="n"/>
    </row>
    <row r="117" hidden="1" ht="42" customHeight="1" s="12" thickBot="1">
      <c r="A117" s="268" t="inlineStr">
        <is>
          <t>Nach Abschluss Stichprobenkontrolle durch Sachgebietsleiter.</t>
        </is>
      </c>
      <c r="B117" s="236" t="n"/>
      <c r="C117" s="236" t="n"/>
      <c r="D117" s="236" t="n"/>
      <c r="E117" s="236" t="n"/>
      <c r="F117" s="236" t="n"/>
      <c r="G117" s="237" t="n"/>
      <c r="H117" s="16" t="n"/>
      <c r="I117" s="137" t="n"/>
    </row>
    <row r="118">
      <c r="A118" s="15" t="n"/>
      <c r="B118" s="15" t="n"/>
      <c r="C118" s="15" t="n"/>
      <c r="D118" s="15" t="n"/>
      <c r="E118" s="15" t="n"/>
      <c r="F118" s="15" t="n"/>
      <c r="G118" s="15" t="n"/>
      <c r="H118" s="14" t="n"/>
      <c r="I118" s="14" t="n"/>
    </row>
    <row r="119">
      <c r="A119" s="15" t="n"/>
      <c r="B119" s="15" t="n"/>
      <c r="C119" s="15" t="n"/>
      <c r="D119" s="15" t="n"/>
      <c r="E119" s="15" t="n"/>
      <c r="F119" s="15" t="n"/>
      <c r="G119" s="15" t="n"/>
      <c r="H119" s="14" t="n"/>
      <c r="I119" s="14" t="n"/>
    </row>
    <row r="120">
      <c r="A120" s="15" t="n"/>
      <c r="B120" s="15" t="n"/>
      <c r="C120" s="15" t="n"/>
      <c r="D120" s="15" t="n"/>
      <c r="E120" s="15" t="n"/>
      <c r="F120" s="15" t="n"/>
      <c r="G120" s="15" t="n"/>
      <c r="H120" s="14" t="n"/>
      <c r="I120" s="14" t="n"/>
    </row>
    <row r="121">
      <c r="A121" s="15" t="n"/>
      <c r="B121" s="15" t="n"/>
      <c r="C121" s="15" t="n"/>
      <c r="D121" s="15" t="n"/>
      <c r="E121" s="15" t="n"/>
      <c r="F121" s="15" t="n"/>
      <c r="G121" s="15" t="n"/>
      <c r="H121" s="14" t="n"/>
      <c r="I121" s="14" t="n"/>
    </row>
    <row r="122">
      <c r="A122" s="15" t="n"/>
      <c r="B122" s="15" t="n"/>
      <c r="C122" s="15" t="n"/>
      <c r="D122" s="15" t="n"/>
      <c r="E122" s="15" t="n"/>
      <c r="F122" s="15" t="n"/>
      <c r="G122" s="15" t="n"/>
      <c r="H122" s="14" t="n"/>
      <c r="I122" s="14" t="n"/>
    </row>
    <row r="123">
      <c r="A123" s="15" t="n"/>
      <c r="B123" s="15" t="n"/>
      <c r="C123" s="15" t="n"/>
      <c r="D123" s="15" t="n"/>
      <c r="E123" s="15" t="n"/>
      <c r="F123" s="15" t="n"/>
      <c r="G123" s="15" t="n"/>
      <c r="H123" s="14" t="n"/>
      <c r="I123" s="14" t="n"/>
    </row>
    <row r="124">
      <c r="A124" s="15" t="n"/>
      <c r="B124" s="15" t="n"/>
      <c r="C124" s="15" t="n"/>
      <c r="D124" s="15" t="n"/>
      <c r="E124" s="15" t="n"/>
      <c r="F124" s="15" t="n"/>
      <c r="G124" s="15" t="n"/>
      <c r="H124" s="14" t="n"/>
      <c r="I124" s="14" t="n"/>
    </row>
    <row r="125">
      <c r="A125" s="15" t="n"/>
      <c r="B125" s="15" t="n"/>
      <c r="C125" s="15" t="n"/>
      <c r="D125" s="15" t="n"/>
      <c r="E125" s="15" t="n"/>
      <c r="F125" s="15" t="n"/>
      <c r="G125" s="15" t="n"/>
      <c r="H125" s="14" t="n"/>
      <c r="I125" s="14" t="n"/>
    </row>
    <row r="126">
      <c r="A126" s="15" t="n"/>
      <c r="B126" s="15" t="n"/>
      <c r="C126" s="15" t="n"/>
      <c r="D126" s="15" t="n"/>
      <c r="E126" s="15" t="n"/>
      <c r="F126" s="15" t="n"/>
      <c r="G126" s="15" t="n"/>
      <c r="H126" s="14" t="n"/>
      <c r="I126" s="14" t="n"/>
    </row>
    <row r="127">
      <c r="A127" s="15" t="n"/>
      <c r="B127" s="15" t="n"/>
      <c r="C127" s="15" t="n"/>
      <c r="D127" s="15" t="n"/>
      <c r="E127" s="15" t="n"/>
      <c r="F127" s="15" t="n"/>
      <c r="G127" s="15" t="n"/>
      <c r="H127" s="14" t="n"/>
      <c r="I127" s="14" t="n"/>
    </row>
    <row r="128">
      <c r="A128" s="15" t="n"/>
      <c r="B128" s="15" t="n"/>
      <c r="C128" s="15" t="n"/>
      <c r="D128" s="15" t="n"/>
      <c r="E128" s="15" t="n"/>
      <c r="F128" s="15" t="n"/>
      <c r="G128" s="15" t="n"/>
      <c r="H128" s="14" t="n"/>
      <c r="I128" s="14" t="n"/>
    </row>
    <row r="129">
      <c r="A129" s="15" t="n"/>
      <c r="B129" s="15" t="n"/>
      <c r="C129" s="15" t="n"/>
      <c r="D129" s="15" t="n"/>
      <c r="E129" s="15" t="n"/>
      <c r="F129" s="15" t="n"/>
      <c r="G129" s="15" t="n"/>
      <c r="H129" s="14" t="n"/>
      <c r="I129" s="14" t="n"/>
    </row>
    <row r="130">
      <c r="A130" s="15" t="n"/>
      <c r="B130" s="15" t="n"/>
      <c r="C130" s="15" t="n"/>
      <c r="D130" s="15" t="n"/>
      <c r="E130" s="15" t="n"/>
      <c r="F130" s="15" t="n"/>
      <c r="G130" s="15" t="n"/>
      <c r="H130" s="14" t="n"/>
      <c r="I130" s="14" t="n"/>
    </row>
    <row r="131">
      <c r="A131" s="15" t="n"/>
      <c r="B131" s="15" t="n"/>
      <c r="C131" s="15" t="n"/>
      <c r="D131" s="15" t="n"/>
      <c r="E131" s="15" t="n"/>
      <c r="F131" s="15" t="n"/>
      <c r="G131" s="15" t="n"/>
      <c r="H131" s="14" t="n"/>
      <c r="I131" s="14" t="n"/>
    </row>
    <row r="132">
      <c r="A132" s="15" t="n"/>
      <c r="B132" s="15" t="n"/>
      <c r="C132" s="15" t="n"/>
      <c r="D132" s="15" t="n"/>
      <c r="E132" s="15" t="n"/>
      <c r="F132" s="15" t="n"/>
      <c r="G132" s="15" t="n"/>
      <c r="H132" s="14" t="n"/>
      <c r="I132" s="14" t="n"/>
    </row>
    <row r="133">
      <c r="A133" s="15" t="n"/>
      <c r="B133" s="15" t="n"/>
      <c r="C133" s="15" t="n"/>
      <c r="D133" s="15" t="n"/>
      <c r="E133" s="15" t="n"/>
      <c r="F133" s="15" t="n"/>
      <c r="G133" s="15" t="n"/>
      <c r="H133" s="14" t="n"/>
      <c r="I133" s="14" t="n"/>
    </row>
    <row r="134">
      <c r="A134" s="15" t="n"/>
      <c r="B134" s="15" t="n"/>
      <c r="C134" s="15" t="n"/>
      <c r="D134" s="15" t="n"/>
      <c r="E134" s="15" t="n"/>
      <c r="F134" s="15" t="n"/>
      <c r="G134" s="15" t="n"/>
      <c r="H134" s="14" t="n"/>
      <c r="I134" s="14" t="n"/>
    </row>
    <row r="135">
      <c r="A135" s="15" t="n"/>
      <c r="B135" s="15" t="n"/>
      <c r="C135" s="15" t="n"/>
      <c r="D135" s="15" t="n"/>
      <c r="E135" s="15" t="n"/>
      <c r="F135" s="15" t="n"/>
      <c r="G135" s="15" t="n"/>
      <c r="H135" s="14" t="n"/>
      <c r="I135" s="14" t="n"/>
    </row>
    <row r="136">
      <c r="A136" s="15" t="n"/>
      <c r="B136" s="15" t="n"/>
      <c r="C136" s="15" t="n"/>
      <c r="D136" s="15" t="n"/>
      <c r="E136" s="15" t="n"/>
      <c r="F136" s="15" t="n"/>
      <c r="G136" s="15" t="n"/>
      <c r="H136" s="14" t="n"/>
      <c r="I136" s="14" t="n"/>
    </row>
    <row r="137">
      <c r="A137" s="15" t="n"/>
      <c r="B137" s="15" t="n"/>
      <c r="C137" s="15" t="n"/>
      <c r="D137" s="15" t="n"/>
      <c r="E137" s="15" t="n"/>
      <c r="F137" s="15" t="n"/>
      <c r="G137" s="15" t="n"/>
      <c r="H137" s="14" t="n"/>
      <c r="I137" s="14" t="n"/>
    </row>
    <row r="138">
      <c r="A138" s="15" t="n"/>
      <c r="B138" s="15" t="n"/>
      <c r="C138" s="15" t="n"/>
      <c r="D138" s="15" t="n"/>
      <c r="E138" s="15" t="n"/>
      <c r="F138" s="15" t="n"/>
      <c r="G138" s="15" t="n"/>
      <c r="H138" s="14" t="n"/>
      <c r="I138" s="14" t="n"/>
    </row>
    <row r="139">
      <c r="A139" s="15" t="n"/>
      <c r="B139" s="15" t="n"/>
      <c r="C139" s="15" t="n"/>
      <c r="D139" s="15" t="n"/>
      <c r="E139" s="15" t="n"/>
      <c r="F139" s="15" t="n"/>
      <c r="G139" s="15" t="n"/>
      <c r="H139" s="14" t="n"/>
      <c r="I139" s="14" t="n"/>
    </row>
    <row r="140">
      <c r="A140" s="15" t="n"/>
      <c r="B140" s="15" t="n"/>
      <c r="C140" s="15" t="n"/>
      <c r="D140" s="15" t="n"/>
      <c r="E140" s="15" t="n"/>
      <c r="F140" s="15" t="n"/>
      <c r="G140" s="15" t="n"/>
      <c r="H140" s="14" t="n"/>
      <c r="I140" s="14" t="n"/>
    </row>
    <row r="141">
      <c r="A141" s="15" t="n"/>
      <c r="B141" s="15" t="n"/>
      <c r="C141" s="15" t="n"/>
      <c r="D141" s="15" t="n"/>
      <c r="E141" s="15" t="n"/>
      <c r="F141" s="15" t="n"/>
      <c r="G141" s="15" t="n"/>
      <c r="H141" s="14" t="n"/>
      <c r="I141" s="14" t="n"/>
    </row>
    <row r="142">
      <c r="A142" s="15" t="n"/>
      <c r="B142" s="15" t="n"/>
      <c r="C142" s="15" t="n"/>
      <c r="D142" s="15" t="n"/>
      <c r="E142" s="15" t="n"/>
      <c r="F142" s="15" t="n"/>
      <c r="G142" s="15" t="n"/>
      <c r="H142" s="14" t="n"/>
      <c r="I142" s="14" t="n"/>
    </row>
    <row r="143">
      <c r="A143" s="15" t="n"/>
      <c r="B143" s="15" t="n"/>
      <c r="C143" s="15" t="n"/>
      <c r="D143" s="15" t="n"/>
      <c r="E143" s="15" t="n"/>
      <c r="F143" s="15" t="n"/>
      <c r="G143" s="15" t="n"/>
      <c r="H143" s="14" t="n"/>
      <c r="I143" s="14" t="n"/>
    </row>
    <row r="144">
      <c r="A144" s="15" t="n"/>
      <c r="B144" s="15" t="n"/>
      <c r="C144" s="15" t="n"/>
      <c r="D144" s="15" t="n"/>
      <c r="E144" s="15" t="n"/>
      <c r="F144" s="15" t="n"/>
      <c r="G144" s="15" t="n"/>
      <c r="H144" s="14" t="n"/>
      <c r="I144" s="14" t="n"/>
    </row>
    <row r="145">
      <c r="A145" s="15" t="n"/>
      <c r="B145" s="15" t="n"/>
      <c r="C145" s="15" t="n"/>
      <c r="D145" s="15" t="n"/>
      <c r="E145" s="15" t="n"/>
      <c r="F145" s="15" t="n"/>
      <c r="G145" s="15" t="n"/>
      <c r="H145" s="14" t="n"/>
      <c r="I145" s="14" t="n"/>
    </row>
    <row r="146">
      <c r="A146" s="15" t="n"/>
      <c r="B146" s="15" t="n"/>
      <c r="C146" s="15" t="n"/>
      <c r="D146" s="15" t="n"/>
      <c r="E146" s="15" t="n"/>
      <c r="F146" s="15" t="n"/>
      <c r="G146" s="15" t="n"/>
      <c r="H146" s="14" t="n"/>
      <c r="I146" s="14" t="n"/>
    </row>
    <row r="147">
      <c r="A147" s="15" t="n"/>
      <c r="B147" s="15" t="n"/>
      <c r="C147" s="15" t="n"/>
      <c r="D147" s="15" t="n"/>
      <c r="E147" s="15" t="n"/>
      <c r="F147" s="15" t="n"/>
      <c r="G147" s="15" t="n"/>
      <c r="H147" s="14" t="n"/>
      <c r="I147" s="14" t="n"/>
    </row>
    <row r="148">
      <c r="A148" s="15" t="n"/>
      <c r="B148" s="15" t="n"/>
      <c r="C148" s="15" t="n"/>
      <c r="D148" s="15" t="n"/>
      <c r="E148" s="15" t="n"/>
      <c r="F148" s="15" t="n"/>
      <c r="G148" s="15" t="n"/>
      <c r="H148" s="14" t="n"/>
      <c r="I148" s="14" t="n"/>
    </row>
    <row r="149" ht="18" customHeight="1" s="12">
      <c r="A149" s="15" t="n"/>
      <c r="B149" s="15" t="n"/>
      <c r="C149" s="15" t="n"/>
      <c r="D149" s="15" t="n"/>
      <c r="E149" s="15" t="n"/>
      <c r="F149" s="15" t="n"/>
      <c r="G149" s="15" t="n"/>
      <c r="H149" s="14" t="n"/>
      <c r="I149" s="14" t="n"/>
    </row>
    <row r="150">
      <c r="A150" s="15" t="n"/>
      <c r="B150" s="15" t="n"/>
      <c r="C150" s="15" t="n"/>
      <c r="D150" s="15" t="n"/>
      <c r="E150" s="15" t="n"/>
      <c r="F150" s="15" t="n"/>
      <c r="G150" s="15" t="n"/>
      <c r="H150" s="14" t="n"/>
      <c r="I150" s="14" t="n"/>
    </row>
    <row r="151">
      <c r="A151" s="160" t="n"/>
      <c r="B151" s="160" t="n"/>
      <c r="C151" s="160" t="n"/>
      <c r="D151" s="160" t="n"/>
      <c r="E151" s="160" t="n"/>
      <c r="F151" s="160" t="n"/>
      <c r="G151" s="160" t="n"/>
      <c r="H151" s="160" t="n"/>
      <c r="I151" s="160" t="n"/>
    </row>
    <row r="152">
      <c r="A152" s="160" t="n"/>
      <c r="B152" s="160" t="n"/>
      <c r="C152" s="160" t="n"/>
      <c r="D152" s="160" t="n"/>
      <c r="E152" s="160" t="n"/>
      <c r="F152" s="160" t="n"/>
      <c r="G152" s="160" t="n"/>
      <c r="H152" s="160" t="n"/>
      <c r="I152" s="160" t="n"/>
    </row>
    <row r="153">
      <c r="A153" s="160" t="n"/>
      <c r="B153" s="160" t="n"/>
      <c r="C153" s="160" t="n"/>
      <c r="D153" s="160" t="n"/>
      <c r="E153" s="160" t="n"/>
      <c r="F153" s="160" t="n"/>
      <c r="G153" s="160" t="n"/>
      <c r="H153" s="160" t="n"/>
      <c r="I153" s="160" t="n"/>
    </row>
    <row r="154">
      <c r="A154" s="160" t="n"/>
      <c r="B154" s="160" t="n"/>
      <c r="C154" s="160" t="n"/>
      <c r="D154" s="160" t="n"/>
      <c r="E154" s="160" t="n"/>
      <c r="F154" s="160" t="n"/>
      <c r="G154" s="160" t="n"/>
      <c r="H154" s="160" t="n"/>
      <c r="I154" s="160" t="n"/>
    </row>
    <row r="155">
      <c r="A155" s="160" t="n"/>
      <c r="B155" s="160" t="n"/>
      <c r="C155" s="160" t="n"/>
      <c r="D155" s="160" t="n"/>
      <c r="E155" s="160" t="n"/>
      <c r="F155" s="160" t="n"/>
      <c r="G155" s="160" t="n"/>
      <c r="H155" s="160" t="n"/>
      <c r="I155" s="160" t="n"/>
    </row>
    <row r="156">
      <c r="A156" s="160" t="n"/>
      <c r="B156" s="160" t="n"/>
      <c r="C156" s="160" t="n"/>
      <c r="D156" s="160" t="n"/>
      <c r="E156" s="160" t="n"/>
      <c r="F156" s="160" t="n"/>
      <c r="G156" s="160" t="n"/>
      <c r="H156" s="160" t="n"/>
      <c r="I156" s="160" t="n"/>
    </row>
    <row r="157">
      <c r="A157" s="160" t="n"/>
      <c r="B157" s="160" t="n"/>
      <c r="C157" s="160" t="n"/>
      <c r="D157" s="160" t="n"/>
      <c r="E157" s="160" t="n"/>
      <c r="F157" s="160" t="n"/>
      <c r="G157" s="160" t="n"/>
      <c r="H157" s="160" t="n"/>
      <c r="I157" s="160" t="n"/>
    </row>
    <row r="158">
      <c r="A158" s="160" t="n"/>
      <c r="B158" s="160" t="n"/>
      <c r="C158" s="160" t="n"/>
      <c r="D158" s="160" t="n"/>
      <c r="E158" s="160" t="n"/>
      <c r="F158" s="160" t="n"/>
      <c r="G158" s="160" t="n"/>
      <c r="H158" s="160" t="n"/>
      <c r="I158" s="160" t="n"/>
    </row>
    <row r="159">
      <c r="A159" s="160" t="n"/>
      <c r="B159" s="160" t="n"/>
      <c r="C159" s="160" t="n"/>
      <c r="D159" s="160" t="n"/>
      <c r="E159" s="160" t="n"/>
      <c r="F159" s="160" t="n"/>
      <c r="G159" s="160" t="n"/>
      <c r="H159" s="160" t="n"/>
      <c r="I159" s="160" t="n"/>
    </row>
    <row r="160">
      <c r="A160" s="160" t="n"/>
      <c r="B160" s="160" t="n"/>
      <c r="C160" s="160" t="n"/>
      <c r="D160" s="160" t="n"/>
      <c r="E160" s="160" t="n"/>
      <c r="F160" s="160" t="n"/>
      <c r="G160" s="160" t="n"/>
      <c r="H160" s="160" t="n"/>
      <c r="I160" s="160" t="n"/>
    </row>
    <row r="161">
      <c r="A161" s="160" t="n"/>
      <c r="B161" s="160" t="n"/>
      <c r="C161" s="160" t="n"/>
      <c r="D161" s="160" t="n"/>
      <c r="E161" s="160" t="n"/>
      <c r="F161" s="160" t="n"/>
      <c r="G161" s="160" t="n"/>
      <c r="H161" s="160" t="n"/>
      <c r="I161" s="160" t="n"/>
    </row>
    <row r="162">
      <c r="A162" s="160" t="n"/>
      <c r="B162" s="160" t="n"/>
      <c r="C162" s="160" t="n"/>
      <c r="D162" s="160" t="n"/>
      <c r="E162" s="160" t="n"/>
      <c r="F162" s="160" t="n"/>
      <c r="G162" s="160" t="n"/>
      <c r="H162" s="160" t="n"/>
      <c r="I162" s="160" t="n"/>
    </row>
    <row r="163">
      <c r="A163" s="160" t="n"/>
      <c r="B163" s="160" t="n"/>
      <c r="C163" s="160" t="n"/>
      <c r="D163" s="160" t="n"/>
      <c r="E163" s="160" t="n"/>
      <c r="F163" s="160" t="n"/>
      <c r="G163" s="160" t="n"/>
      <c r="H163" s="160" t="n"/>
      <c r="I163" s="160" t="n"/>
    </row>
    <row r="164">
      <c r="A164" s="160" t="n"/>
      <c r="B164" s="160" t="n"/>
      <c r="C164" s="160" t="n"/>
      <c r="D164" s="160" t="n"/>
      <c r="E164" s="160" t="n"/>
      <c r="F164" s="160" t="n"/>
      <c r="G164" s="160" t="n"/>
      <c r="H164" s="160" t="n"/>
      <c r="I164" s="160" t="n"/>
    </row>
    <row r="165">
      <c r="A165" s="160" t="n"/>
      <c r="B165" s="160" t="n"/>
      <c r="C165" s="160" t="n"/>
      <c r="D165" s="160" t="n"/>
      <c r="E165" s="160" t="n"/>
      <c r="F165" s="160" t="n"/>
      <c r="G165" s="160" t="n"/>
      <c r="H165" s="160" t="n"/>
      <c r="I165" s="160" t="n"/>
    </row>
    <row r="166">
      <c r="A166" s="160" t="n"/>
      <c r="B166" s="160" t="n"/>
      <c r="C166" s="160" t="n"/>
      <c r="D166" s="160" t="n"/>
      <c r="E166" s="160" t="n"/>
      <c r="F166" s="160" t="n"/>
      <c r="G166" s="160" t="n"/>
      <c r="H166" s="160" t="n"/>
      <c r="I166" s="160" t="n"/>
    </row>
    <row r="167">
      <c r="A167" s="160" t="n"/>
      <c r="B167" s="160" t="n"/>
      <c r="C167" s="160" t="n"/>
      <c r="D167" s="160" t="n"/>
      <c r="E167" s="160" t="n"/>
      <c r="F167" s="160" t="n"/>
      <c r="G167" s="160" t="n"/>
      <c r="H167" s="160" t="n"/>
      <c r="I167" s="160" t="n"/>
    </row>
    <row r="168">
      <c r="A168" s="160" t="n"/>
      <c r="B168" s="160" t="n"/>
      <c r="C168" s="160" t="n"/>
      <c r="D168" s="160" t="n"/>
      <c r="E168" s="160" t="n"/>
      <c r="F168" s="160" t="n"/>
      <c r="G168" s="160" t="n"/>
      <c r="H168" s="160" t="n"/>
      <c r="I168" s="160" t="n"/>
    </row>
    <row r="169">
      <c r="A169" s="160" t="n"/>
      <c r="B169" s="160" t="n"/>
      <c r="C169" s="160" t="n"/>
      <c r="D169" s="160" t="n"/>
      <c r="E169" s="160" t="n"/>
      <c r="F169" s="160" t="n"/>
      <c r="G169" s="160" t="n"/>
      <c r="H169" s="160" t="n"/>
      <c r="I169" s="160" t="n"/>
    </row>
  </sheetData>
  <mergeCells count="59">
    <mergeCell ref="A114:E114"/>
    <mergeCell ref="F4:G4"/>
    <mergeCell ref="A90:C90"/>
    <mergeCell ref="A116:G116"/>
    <mergeCell ref="B16:C16"/>
    <mergeCell ref="B84:B88"/>
    <mergeCell ref="A8:G8"/>
    <mergeCell ref="B65:B67"/>
    <mergeCell ref="D25:G25"/>
    <mergeCell ref="A22:G22"/>
    <mergeCell ref="A71:A75"/>
    <mergeCell ref="A69:A70"/>
    <mergeCell ref="A107:E107"/>
    <mergeCell ref="D24:G24"/>
    <mergeCell ref="B77:B80"/>
    <mergeCell ref="B18:C18"/>
    <mergeCell ref="A19:G19"/>
    <mergeCell ref="A117:G117"/>
    <mergeCell ref="A13:G13"/>
    <mergeCell ref="D23:G23"/>
    <mergeCell ref="A98:B102"/>
    <mergeCell ref="D26:G26"/>
    <mergeCell ref="B14:C14"/>
    <mergeCell ref="B17:C17"/>
    <mergeCell ref="A109:C109"/>
    <mergeCell ref="B45:B49"/>
    <mergeCell ref="A58:A62"/>
    <mergeCell ref="G5:G6"/>
    <mergeCell ref="A112:C112"/>
    <mergeCell ref="A36:G36"/>
    <mergeCell ref="A32:A33"/>
    <mergeCell ref="A1:G1"/>
    <mergeCell ref="B105:E105"/>
    <mergeCell ref="B71:B75"/>
    <mergeCell ref="C115:G115"/>
    <mergeCell ref="B52:B54"/>
    <mergeCell ref="A7:G7"/>
    <mergeCell ref="A45:A49"/>
    <mergeCell ref="A110:B111"/>
    <mergeCell ref="A108:G108"/>
    <mergeCell ref="A106:E106"/>
    <mergeCell ref="B58:B62"/>
    <mergeCell ref="A89:G89"/>
    <mergeCell ref="A4:E4"/>
    <mergeCell ref="A84:A88"/>
    <mergeCell ref="B15:C15"/>
    <mergeCell ref="B39:B41"/>
    <mergeCell ref="A103:C103"/>
    <mergeCell ref="A27:G27"/>
    <mergeCell ref="A3:G3"/>
    <mergeCell ref="A21:G21"/>
    <mergeCell ref="A28:A29"/>
    <mergeCell ref="A34:A35"/>
    <mergeCell ref="A115:B115"/>
    <mergeCell ref="A2:G2"/>
    <mergeCell ref="A104:G104"/>
    <mergeCell ref="A82:A83"/>
    <mergeCell ref="A113:G113"/>
    <mergeCell ref="A30:A31"/>
  </mergeCells>
  <conditionalFormatting sqref="G51 G64 G77">
    <cfRule type="cellIs" priority="140" operator="greaterThan" dxfId="51">
      <formula>0</formula>
    </cfRule>
  </conditionalFormatting>
  <conditionalFormatting sqref="C11:G11">
    <cfRule type="expression" priority="127" dxfId="0">
      <formula>$B$11&lt;&gt;""</formula>
    </cfRule>
  </conditionalFormatting>
  <conditionalFormatting sqref="B11:G11">
    <cfRule type="expression" priority="94" dxfId="0">
      <formula>$B$11&lt;&gt;""</formula>
    </cfRule>
  </conditionalFormatting>
  <conditionalFormatting sqref="B9:G9">
    <cfRule type="expression" priority="92" dxfId="0">
      <formula>$B$9&lt;&gt;""</formula>
    </cfRule>
  </conditionalFormatting>
  <conditionalFormatting sqref="E14:G14">
    <cfRule type="expression" priority="81" dxfId="0">
      <formula>$D$14&lt;&gt;""</formula>
    </cfRule>
  </conditionalFormatting>
  <conditionalFormatting sqref="E15:G15">
    <cfRule type="expression" priority="80" dxfId="0">
      <formula>$D$15&lt;&gt;""</formula>
    </cfRule>
  </conditionalFormatting>
  <conditionalFormatting sqref="E16:G16">
    <cfRule type="expression" priority="79" dxfId="0">
      <formula>$D$16&lt;&gt;""</formula>
    </cfRule>
  </conditionalFormatting>
  <conditionalFormatting sqref="E17:G17">
    <cfRule type="expression" priority="78" dxfId="0">
      <formula>$D$17&lt;&gt;""</formula>
    </cfRule>
  </conditionalFormatting>
  <conditionalFormatting sqref="E18:G18">
    <cfRule type="expression" priority="77" dxfId="0">
      <formula>$D$18&lt;&gt;""</formula>
    </cfRule>
  </conditionalFormatting>
  <conditionalFormatting sqref="D42:E42">
    <cfRule type="expression" priority="66" dxfId="0">
      <formula>$D$42&lt;&gt;""</formula>
    </cfRule>
  </conditionalFormatting>
  <conditionalFormatting sqref="A20:G20">
    <cfRule type="expression" priority="60" dxfId="0">
      <formula>$A$20&lt;&gt;""</formula>
    </cfRule>
  </conditionalFormatting>
  <conditionalFormatting sqref="D43:E43">
    <cfRule type="expression" priority="59" dxfId="0">
      <formula>$D$43&lt;&gt;""</formula>
    </cfRule>
  </conditionalFormatting>
  <conditionalFormatting sqref="E41">
    <cfRule type="expression" priority="58" dxfId="0">
      <formula>$D$41&lt;&gt;""</formula>
    </cfRule>
  </conditionalFormatting>
  <conditionalFormatting sqref="D49:E49">
    <cfRule type="expression" priority="57" dxfId="0">
      <formula>$D$49&lt;&gt;""</formula>
    </cfRule>
  </conditionalFormatting>
  <conditionalFormatting sqref="D45:E45">
    <cfRule type="expression" priority="56" dxfId="0">
      <formula>$D$45&lt;&gt;""</formula>
    </cfRule>
  </conditionalFormatting>
  <conditionalFormatting sqref="D46:E46">
    <cfRule type="expression" priority="52" dxfId="0">
      <formula>$D$46&lt;&gt;""</formula>
    </cfRule>
  </conditionalFormatting>
  <conditionalFormatting sqref="D47:E47">
    <cfRule type="expression" priority="51" dxfId="0">
      <formula>$D$47&lt;&gt;""</formula>
    </cfRule>
  </conditionalFormatting>
  <conditionalFormatting sqref="D48:E48">
    <cfRule type="expression" priority="50" dxfId="0">
      <formula>$D$48&lt;&gt;""</formula>
    </cfRule>
  </conditionalFormatting>
  <conditionalFormatting sqref="D55:F55">
    <cfRule type="expression" priority="49" dxfId="0">
      <formula>$D$55&lt;&gt;""</formula>
    </cfRule>
  </conditionalFormatting>
  <conditionalFormatting sqref="D56:F56">
    <cfRule type="expression" priority="48" dxfId="0">
      <formula>$D$56&lt;&gt;""</formula>
    </cfRule>
  </conditionalFormatting>
  <conditionalFormatting sqref="D62:F62">
    <cfRule type="expression" priority="46" dxfId="0">
      <formula>$D$62&lt;&gt;""</formula>
    </cfRule>
  </conditionalFormatting>
  <conditionalFormatting sqref="D58:F58">
    <cfRule type="expression" priority="45" dxfId="0">
      <formula>$D$58&lt;&gt;""</formula>
    </cfRule>
  </conditionalFormatting>
  <conditionalFormatting sqref="D59:F59">
    <cfRule type="expression" priority="44" dxfId="0">
      <formula>$D$59&lt;&gt;""</formula>
    </cfRule>
  </conditionalFormatting>
  <conditionalFormatting sqref="D60:F60">
    <cfRule type="expression" priority="43" dxfId="0">
      <formula>$D$60&lt;&gt;""</formula>
    </cfRule>
  </conditionalFormatting>
  <conditionalFormatting sqref="D61:F61">
    <cfRule type="expression" priority="42" dxfId="0">
      <formula>$D$61&lt;&gt;""</formula>
    </cfRule>
  </conditionalFormatting>
  <conditionalFormatting sqref="D68:F68">
    <cfRule type="expression" priority="40" dxfId="0">
      <formula>$D$68&lt;&gt;""</formula>
    </cfRule>
  </conditionalFormatting>
  <conditionalFormatting sqref="D69:F69">
    <cfRule type="expression" priority="39" dxfId="0">
      <formula>$D$69&lt;&gt;""</formula>
    </cfRule>
  </conditionalFormatting>
  <conditionalFormatting sqref="D75:F75">
    <cfRule type="expression" priority="37" dxfId="0">
      <formula>$D$75&lt;&gt;""</formula>
    </cfRule>
  </conditionalFormatting>
  <conditionalFormatting sqref="D71:F71">
    <cfRule type="expression" priority="36" dxfId="0">
      <formula>$D$71&lt;&gt;""</formula>
    </cfRule>
  </conditionalFormatting>
  <conditionalFormatting sqref="D72:F72">
    <cfRule type="expression" priority="35" dxfId="0">
      <formula>$D$72&lt;&gt;""</formula>
    </cfRule>
  </conditionalFormatting>
  <conditionalFormatting sqref="D73:F73">
    <cfRule type="expression" priority="34" dxfId="0">
      <formula>$D$73&lt;&gt;""</formula>
    </cfRule>
  </conditionalFormatting>
  <conditionalFormatting sqref="D74:F74">
    <cfRule type="expression" priority="33" dxfId="0">
      <formula>$D$74&lt;&gt;""</formula>
    </cfRule>
  </conditionalFormatting>
  <conditionalFormatting sqref="D81:F81">
    <cfRule type="expression" priority="32" dxfId="0">
      <formula>$D$81&lt;&gt;""</formula>
    </cfRule>
  </conditionalFormatting>
  <conditionalFormatting sqref="D82:F82">
    <cfRule type="expression" priority="31" dxfId="0">
      <formula>$D$82&lt;&gt;""</formula>
    </cfRule>
  </conditionalFormatting>
  <conditionalFormatting sqref="D88:F88">
    <cfRule type="expression" priority="29" dxfId="0">
      <formula>$D$88&lt;&gt;""</formula>
    </cfRule>
  </conditionalFormatting>
  <conditionalFormatting sqref="D84:F84">
    <cfRule type="expression" priority="28" dxfId="0">
      <formula>$D$84&lt;&gt;""</formula>
    </cfRule>
  </conditionalFormatting>
  <conditionalFormatting sqref="D85:F85">
    <cfRule type="expression" priority="27" dxfId="0">
      <formula>$D$85&lt;&gt;""</formula>
    </cfRule>
  </conditionalFormatting>
  <conditionalFormatting sqref="D86:F86">
    <cfRule type="expression" priority="26" dxfId="0">
      <formula>$D$86&lt;&gt;""</formula>
    </cfRule>
  </conditionalFormatting>
  <conditionalFormatting sqref="D87:F87">
    <cfRule type="expression" priority="25" dxfId="0">
      <formula>$D$87&lt;&gt;""</formula>
    </cfRule>
  </conditionalFormatting>
  <conditionalFormatting sqref="F42">
    <cfRule type="expression" priority="14" dxfId="12">
      <formula>$F$42&lt;&gt;""</formula>
    </cfRule>
  </conditionalFormatting>
  <conditionalFormatting sqref="E54">
    <cfRule type="expression" priority="13" dxfId="0">
      <formula>$D$41&lt;&gt;""</formula>
    </cfRule>
  </conditionalFormatting>
  <conditionalFormatting sqref="E67">
    <cfRule type="expression" priority="12" dxfId="0">
      <formula>$D$41&lt;&gt;""</formula>
    </cfRule>
  </conditionalFormatting>
  <conditionalFormatting sqref="E80">
    <cfRule type="expression" priority="10" dxfId="0">
      <formula>$D$41&lt;&gt;""</formula>
    </cfRule>
  </conditionalFormatting>
  <conditionalFormatting sqref="D28:G28">
    <cfRule type="expression" priority="9" dxfId="0">
      <formula>$C$28&lt;&gt;""</formula>
    </cfRule>
  </conditionalFormatting>
  <conditionalFormatting sqref="D30:G30">
    <cfRule type="expression" priority="8" dxfId="0">
      <formula>$C$30&lt;&gt;""</formula>
    </cfRule>
  </conditionalFormatting>
  <conditionalFormatting sqref="D32:G32">
    <cfRule type="expression" priority="7" dxfId="0">
      <formula>$C$32&lt;&gt;""</formula>
    </cfRule>
  </conditionalFormatting>
  <conditionalFormatting sqref="D34:G34">
    <cfRule type="expression" priority="6" dxfId="0">
      <formula>$C$34&lt;&gt;""</formula>
    </cfRule>
  </conditionalFormatting>
  <conditionalFormatting sqref="B5">
    <cfRule type="expression" priority="5" dxfId="0">
      <formula>$B$5&lt;&gt;""</formula>
    </cfRule>
  </conditionalFormatting>
  <conditionalFormatting sqref="B6">
    <cfRule type="expression" priority="4" dxfId="0">
      <formula>$B$5&lt;&gt;""</formula>
    </cfRule>
  </conditionalFormatting>
  <conditionalFormatting sqref="D6">
    <cfRule type="expression" priority="3" dxfId="0">
      <formula>$B$5&lt;&gt;""</formula>
    </cfRule>
  </conditionalFormatting>
  <conditionalFormatting sqref="F5">
    <cfRule type="expression" priority="2" dxfId="0">
      <formula>$E$5&lt;&gt;""</formula>
    </cfRule>
  </conditionalFormatting>
  <conditionalFormatting sqref="F6">
    <cfRule type="expression" priority="1" dxfId="0">
      <formula>$B$5&lt;&gt;""</formula>
    </cfRule>
  </conditionalFormatting>
  <dataValidations count="6">
    <dataValidation sqref="B11" showDropDown="0" showInputMessage="1" showErrorMessage="1" allowBlank="1" promptTitle="Hinweis" prompt="Laut §6 BHO sind nur die zur Bedarfsdeckung unabdingbar notwendigen Ausgaben zu berücksichtigen. _x000a__x000a_Bitte bedenken Sie vor diesem Hintergrund den notwendigen Zusammenhang der Ausgaben mit dem Bedarf bzw. der Zielsetzung Ihrer Maßnahme."/>
    <dataValidation sqref="B12" showDropDown="0" showInputMessage="1" showErrorMessage="1" allowBlank="1" type="whole">
      <formula1>1</formula1>
      <formula2>300</formula2>
    </dataValidation>
    <dataValidation sqref="E65:E67 E78:E80 F38 F51 F64:F66 F77:F79" showDropDown="0" showInputMessage="1" showErrorMessage="1" allowBlank="1" promptTitle="Hinweis" prompt="Bitte entsprechende Auswahl via Dropdown in Spalte C treffen."/>
    <dataValidation sqref="B6" showDropDown="0" showInputMessage="1" showErrorMessage="1" allowBlank="1" promptTitle="Hinweis" prompt="Das eingetragene Datum muss zeitlich vor dem &quot;Beginn der Maßnahme&quot; liegen. " type="date" operator="lessThan">
      <formula1>D6</formula1>
    </dataValidation>
    <dataValidation sqref="D6" showDropDown="0" showInputMessage="1" showErrorMessage="1" allowBlank="1" promptTitle="Hinweis" prompt="Das eingetragene Datum muss zeitlich nach dem &quot;Datum der Erstellung&quot; liegen. " type="date" operator="greaterThanOrEqual">
      <formula1>B6</formula1>
    </dataValidation>
    <dataValidation sqref="F6" showDropDown="0" showInputMessage="1" showErrorMessage="1" allowBlank="1" promptTitle="Hinweis" prompt="Das eingetragene Datum muss zeitlich auf oder nach den &quot;Beginn der Maßnahme&quot; fallen. " type="date" operator="greaterThanOrEqual">
      <formula1>D6</formula1>
    </dataValidation>
  </dataValidations>
  <pageMargins left="0.7" right="0.7" top="0.787401575" bottom="0.787401575" header="0.3" footer="0.3"/>
  <pageSetup orientation="portrait" paperSize="9" scale="79"/>
  <headerFooter>
    <oddHeader>&amp;C_x000a_</oddHeader>
    <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Tabelle3">
    <outlinePr summaryBelow="1" summaryRight="1"/>
    <pageSetUpPr/>
  </sheetPr>
  <dimension ref="A1:A1"/>
  <sheetViews>
    <sheetView workbookViewId="0">
      <selection activeCell="A1" sqref="A1"/>
    </sheetView>
  </sheetViews>
  <sheetFormatPr baseColWidth="10" defaultRowHeight="15"/>
  <sheetData/>
  <pageMargins left="0.7" right="0.7" top="0.787401575" bottom="0.787401575" header="0.3" footer="0.3"/>
</worksheet>
</file>

<file path=xl/worksheets/sheet3.xml><?xml version="1.0" encoding="utf-8"?>
<worksheet xmlns="http://schemas.openxmlformats.org/spreadsheetml/2006/main">
  <sheetPr codeName="Tabelle2">
    <outlinePr summaryBelow="1" summaryRight="1"/>
    <pageSetUpPr/>
  </sheetPr>
  <dimension ref="A2:G144"/>
  <sheetViews>
    <sheetView topLeftCell="A116" workbookViewId="0">
      <selection activeCell="A118" sqref="A118:B139"/>
    </sheetView>
  </sheetViews>
  <sheetFormatPr baseColWidth="10" defaultRowHeight="15"/>
  <cols>
    <col width="84.42578125" bestFit="1" customWidth="1" style="12" min="1" max="1"/>
    <col width="75.28515625" bestFit="1" customWidth="1" style="12" min="5" max="8"/>
    <col width="7.5703125" customWidth="1" style="12" min="9" max="9"/>
  </cols>
  <sheetData>
    <row r="1" hidden="1" s="12"/>
    <row r="2" hidden="1" s="12">
      <c r="A2" s="1" t="n"/>
      <c r="B2" s="2" t="n"/>
    </row>
    <row r="3" hidden="1" s="12">
      <c r="B3" s="2" t="n"/>
    </row>
    <row r="4" hidden="1" s="12">
      <c r="B4" s="2" t="n"/>
    </row>
    <row r="5" hidden="1" s="12">
      <c r="B5" s="2" t="n"/>
    </row>
    <row r="6" hidden="1" s="12">
      <c r="B6" s="2" t="n"/>
    </row>
    <row r="7">
      <c r="B7" s="2" t="n"/>
      <c r="E7" s="9" t="n"/>
      <c r="F7" s="9" t="n"/>
      <c r="G7" s="9" t="n"/>
    </row>
    <row r="8">
      <c r="A8" s="1" t="inlineStr">
        <is>
          <t>Rechtliche Vorgaben:</t>
        </is>
      </c>
      <c r="B8" s="7" t="n"/>
      <c r="C8" s="7" t="n"/>
      <c r="E8" s="9" t="n"/>
    </row>
    <row r="9">
      <c r="A9" t="inlineStr">
        <is>
          <t>Organisatorische Rahmenbedingungen:</t>
        </is>
      </c>
      <c r="B9" s="7" t="n"/>
      <c r="C9" s="7" t="n"/>
      <c r="E9" s="9" t="n"/>
    </row>
    <row r="10">
      <c r="A10" t="inlineStr">
        <is>
          <t>Zeitliche Rahmenbedingungen:</t>
        </is>
      </c>
      <c r="B10" s="8" t="n"/>
      <c r="C10" s="7" t="n"/>
      <c r="E10" s="9" t="n"/>
    </row>
    <row r="11">
      <c r="A11" t="inlineStr">
        <is>
          <t>Sonstige Rahmenbedingungen:</t>
        </is>
      </c>
      <c r="B11" s="8" t="n"/>
      <c r="C11" s="7" t="n"/>
      <c r="E11" s="9" t="n"/>
      <c r="F11" s="9" t="n"/>
    </row>
    <row r="12">
      <c r="A12" s="1" t="n"/>
      <c r="B12" s="8" t="n"/>
      <c r="C12" s="8" t="n"/>
      <c r="E12" s="9" t="n"/>
      <c r="F12" s="9" t="n"/>
      <c r="G12" s="9" t="n"/>
    </row>
    <row r="13">
      <c r="B13" s="269" t="n"/>
      <c r="E13" s="9" t="n"/>
      <c r="F13" s="9" t="n"/>
      <c r="G13" s="9" t="n"/>
    </row>
    <row r="14" hidden="1" s="12">
      <c r="B14" s="4" t="n"/>
      <c r="E14" s="9" t="n"/>
      <c r="F14" s="9" t="n"/>
      <c r="G14" s="9" t="n"/>
    </row>
    <row r="15">
      <c r="A15" t="inlineStr">
        <is>
          <t>Transport</t>
        </is>
      </c>
      <c r="B15" s="269" t="n"/>
      <c r="E15" s="9" t="n"/>
      <c r="F15" s="9" t="n"/>
      <c r="G15" s="9" t="n"/>
    </row>
    <row r="16">
      <c r="A16" s="6" t="inlineStr">
        <is>
          <t>Eigenes KFZ</t>
        </is>
      </c>
      <c r="B16" s="269" t="n"/>
      <c r="E16" s="9" t="n"/>
      <c r="F16" s="9" t="n"/>
      <c r="G16" s="9" t="n"/>
    </row>
    <row r="17">
      <c r="A17" t="inlineStr">
        <is>
          <t>Gemietetes KFZ</t>
        </is>
      </c>
      <c r="B17" s="269" t="n"/>
      <c r="E17" s="9" t="n"/>
      <c r="F17" s="9" t="n"/>
      <c r="G17" s="9" t="n"/>
    </row>
    <row r="18">
      <c r="A18" t="inlineStr">
        <is>
          <t>Bus</t>
        </is>
      </c>
      <c r="B18" s="4" t="n"/>
      <c r="E18" s="9" t="n"/>
      <c r="F18" s="9" t="n"/>
      <c r="G18" s="9" t="n"/>
    </row>
    <row r="19">
      <c r="A19" t="inlineStr">
        <is>
          <t>Bahn/Zug</t>
        </is>
      </c>
      <c r="B19" s="269" t="n"/>
      <c r="E19" s="9" t="n"/>
      <c r="F19" s="9" t="n"/>
      <c r="G19" s="9" t="n"/>
    </row>
    <row r="20">
      <c r="A20" t="inlineStr">
        <is>
          <t>Flugzeug</t>
        </is>
      </c>
      <c r="B20" s="270" t="n"/>
      <c r="E20" s="9" t="n"/>
      <c r="F20" s="9" t="n"/>
      <c r="G20" s="9" t="n"/>
    </row>
    <row r="21">
      <c r="B21" s="270" t="n"/>
      <c r="E21" s="9" t="n"/>
      <c r="F21" s="9" t="n"/>
      <c r="G21" s="9" t="n"/>
    </row>
    <row r="22">
      <c r="A22" t="inlineStr">
        <is>
          <t>ext. Unterkunft</t>
        </is>
      </c>
      <c r="E22" s="9" t="n"/>
      <c r="F22" s="9" t="n"/>
      <c r="G22" s="9" t="n"/>
    </row>
    <row r="23">
      <c r="A23" s="6" t="inlineStr">
        <is>
          <t>amtlich unentgeltliche Unterkunft</t>
        </is>
      </c>
      <c r="E23" s="9" t="n"/>
      <c r="F23" s="9" t="n"/>
      <c r="G23" s="9" t="n"/>
    </row>
    <row r="24">
      <c r="A24" t="inlineStr">
        <is>
          <t>amtlich entgeltliche Unterkunft</t>
        </is>
      </c>
      <c r="E24" s="9" t="n"/>
      <c r="F24" s="9" t="n"/>
      <c r="G24" s="9" t="n"/>
    </row>
    <row r="25">
      <c r="A25" t="inlineStr">
        <is>
          <t>Hotel-/Privatunterkunft</t>
        </is>
      </c>
      <c r="E25" s="9" t="n"/>
      <c r="F25" s="9" t="n"/>
      <c r="G25" s="9" t="n"/>
    </row>
    <row r="26">
      <c r="E26" s="9" t="n"/>
      <c r="F26" s="9" t="n"/>
      <c r="G26" s="9" t="n"/>
    </row>
    <row r="27">
      <c r="A27" t="inlineStr">
        <is>
          <t>Tagegeld</t>
        </is>
      </c>
      <c r="E27" s="9" t="n"/>
      <c r="F27" s="9" t="n"/>
      <c r="G27" s="9" t="n"/>
    </row>
    <row r="28">
      <c r="A28" t="inlineStr">
        <is>
          <t>Inland Ganztag</t>
        </is>
      </c>
    </row>
    <row r="29">
      <c r="A29" t="inlineStr">
        <is>
          <t>Inland Halbtag</t>
        </is>
      </c>
    </row>
    <row r="30">
      <c r="A30" t="inlineStr">
        <is>
          <t>Inland o. Frühstück</t>
        </is>
      </c>
    </row>
    <row r="31">
      <c r="A31" t="inlineStr">
        <is>
          <t>Inland o. Abendessen</t>
        </is>
      </c>
    </row>
    <row r="32">
      <c r="A32" t="inlineStr">
        <is>
          <t>Tagegeld Sonstige</t>
        </is>
      </c>
    </row>
    <row r="34">
      <c r="A34" t="inlineStr">
        <is>
          <t>Leistungserbringung durch die eigene Dienststelle</t>
        </is>
      </c>
      <c r="B34" t="inlineStr">
        <is>
          <t>Option 1</t>
        </is>
      </c>
    </row>
    <row r="35">
      <c r="A35" t="inlineStr">
        <is>
          <t>Leistungserbringung durch andere bundeswehrinterne Dienststellen</t>
        </is>
      </c>
      <c r="B35" t="inlineStr">
        <is>
          <t>Option 2</t>
        </is>
      </c>
    </row>
    <row r="36">
      <c r="A36" t="inlineStr">
        <is>
          <t>Leistungserbringung durch eine Inhousegesellschaft/eine Dienstelle eines anderen Ressorts</t>
        </is>
      </c>
      <c r="B36" t="inlineStr">
        <is>
          <t>Option 3</t>
        </is>
      </c>
    </row>
    <row r="37">
      <c r="A37" t="inlineStr">
        <is>
          <t>Leistungserbringung durch einen externen Dienstleister</t>
        </is>
      </c>
      <c r="B37" t="inlineStr">
        <is>
          <t>Option 4</t>
        </is>
      </c>
    </row>
    <row r="40">
      <c r="A40" s="10" t="inlineStr">
        <is>
          <t>Zellsprungfunktion</t>
        </is>
      </c>
    </row>
    <row r="41">
      <c r="A41" s="11" t="inlineStr">
        <is>
          <t>Ein</t>
        </is>
      </c>
    </row>
    <row r="44">
      <c r="A44" s="159" t="n"/>
    </row>
    <row r="45">
      <c r="A45" s="116" t="inlineStr">
        <is>
          <t>Bei Bedarf bitte auswählen</t>
        </is>
      </c>
      <c r="B45" t="n">
        <v>0</v>
      </c>
    </row>
    <row r="46">
      <c r="A46" s="161" t="inlineStr">
        <is>
          <t>BeamteA5E</t>
        </is>
      </c>
      <c r="B46" s="271" t="n">
        <v>49333.26588</v>
      </c>
    </row>
    <row r="47">
      <c r="A47" s="161" t="inlineStr">
        <is>
          <t>BeamtA6E</t>
        </is>
      </c>
      <c r="B47" s="271" t="n">
        <v>55086.56442448672</v>
      </c>
    </row>
    <row r="48">
      <c r="A48" s="161" t="inlineStr">
        <is>
          <t>BeamteA6M</t>
        </is>
      </c>
      <c r="B48" s="271" t="n">
        <v>48161.39755182452</v>
      </c>
    </row>
    <row r="49">
      <c r="A49" s="161" t="inlineStr">
        <is>
          <t>BeamteA6M/A7</t>
        </is>
      </c>
      <c r="B49" s="271" t="n">
        <v>51150.18785849352</v>
      </c>
    </row>
    <row r="50">
      <c r="A50" s="161" t="inlineStr">
        <is>
          <t>BeamteA7</t>
        </is>
      </c>
      <c r="B50" s="271" t="n">
        <v>52426.36785626155</v>
      </c>
    </row>
    <row r="51">
      <c r="A51" s="161" t="inlineStr">
        <is>
          <t>BeamteA6M-A8</t>
        </is>
      </c>
      <c r="B51" s="271" t="n">
        <v>59284.22775742935</v>
      </c>
    </row>
    <row r="52">
      <c r="A52" s="161" t="inlineStr">
        <is>
          <t>BeamteA7/A8</t>
        </is>
      </c>
      <c r="B52" s="271" t="n">
        <v>60252.39472845272</v>
      </c>
    </row>
    <row r="53">
      <c r="A53" s="161" t="inlineStr">
        <is>
          <t>BeamteA8</t>
        </is>
      </c>
      <c r="B53" s="271" t="n">
        <v>62256.25247516473</v>
      </c>
    </row>
    <row r="54">
      <c r="A54" s="161" t="inlineStr">
        <is>
          <t>BeamteA9M</t>
        </is>
      </c>
      <c r="B54" s="271" t="n">
        <v>68674.84224358862</v>
      </c>
    </row>
    <row r="55">
      <c r="A55" s="161" t="inlineStr">
        <is>
          <t>BeamteA9MZ</t>
        </is>
      </c>
      <c r="B55" s="271" t="n">
        <v>74418.29279395421</v>
      </c>
    </row>
    <row r="56">
      <c r="A56" s="161" t="inlineStr">
        <is>
          <t>BeamteA9G</t>
        </is>
      </c>
      <c r="B56" s="271" t="n">
        <v>57813.0172645079</v>
      </c>
    </row>
    <row r="57">
      <c r="A57" s="161" t="inlineStr">
        <is>
          <t>BeamteA9G/A10</t>
        </is>
      </c>
      <c r="B57" s="271" t="n">
        <v>61674.9544931125</v>
      </c>
    </row>
    <row r="58">
      <c r="A58" s="161" t="inlineStr">
        <is>
          <t>BeamteA9G-A11</t>
        </is>
      </c>
      <c r="B58" s="271" t="n">
        <v>71631.69195025736</v>
      </c>
    </row>
    <row r="59">
      <c r="A59" s="161" t="inlineStr">
        <is>
          <t>BeamteA10</t>
        </is>
      </c>
      <c r="B59" s="271" t="n">
        <v>63954.9730334784</v>
      </c>
    </row>
    <row r="60">
      <c r="A60" s="161" t="inlineStr">
        <is>
          <t>BeamteA11</t>
        </is>
      </c>
      <c r="B60" s="271" t="n">
        <v>79501.76220171893</v>
      </c>
    </row>
    <row r="61">
      <c r="A61" s="161" t="inlineStr">
        <is>
          <t>BeamteA12</t>
        </is>
      </c>
      <c r="B61" s="271" t="n">
        <v>90540.62551901797</v>
      </c>
    </row>
    <row r="62">
      <c r="A62" s="161" t="inlineStr">
        <is>
          <t>BeamteA13G</t>
        </is>
      </c>
      <c r="B62" s="271" t="n">
        <v>101701.6485637517</v>
      </c>
    </row>
    <row r="63">
      <c r="A63" s="161" t="inlineStr">
        <is>
          <t>BeamteA13GZ</t>
        </is>
      </c>
      <c r="B63" s="271" t="n">
        <v>108002.8539660179</v>
      </c>
    </row>
    <row r="64">
      <c r="A64" s="161" t="inlineStr">
        <is>
          <t>BeamteA13H</t>
        </is>
      </c>
      <c r="B64" s="271" t="n">
        <v>93641.72547584544</v>
      </c>
    </row>
    <row r="65">
      <c r="A65" s="161" t="inlineStr">
        <is>
          <t>BeamteA13H/A14</t>
        </is>
      </c>
      <c r="B65" s="271" t="n">
        <v>105720.6680313999</v>
      </c>
    </row>
    <row r="66">
      <c r="A66" s="161" t="inlineStr">
        <is>
          <t>BeamteA14</t>
        </is>
      </c>
      <c r="B66" s="271" t="n">
        <v>108810.1203683062</v>
      </c>
    </row>
    <row r="67">
      <c r="A67" s="161" t="inlineStr">
        <is>
          <t>BeamteA15</t>
        </is>
      </c>
      <c r="B67" s="271" t="n">
        <v>128358.478566065</v>
      </c>
    </row>
    <row r="68">
      <c r="A68" s="161" t="inlineStr">
        <is>
          <t>BeamteA15Z</t>
        </is>
      </c>
      <c r="B68" s="271" t="n">
        <v>136057.4688709091</v>
      </c>
    </row>
    <row r="69">
      <c r="A69" s="161" t="inlineStr">
        <is>
          <t>BeamteA16</t>
        </is>
      </c>
      <c r="B69" s="271" t="n">
        <v>145001.4747899035</v>
      </c>
    </row>
    <row r="70">
      <c r="A70" s="161" t="inlineStr">
        <is>
          <t>BeamteB2</t>
        </is>
      </c>
      <c r="B70" s="271" t="n">
        <v>152766.487699865</v>
      </c>
    </row>
    <row r="71">
      <c r="A71" s="161" t="inlineStr">
        <is>
          <t>BeamteB3</t>
        </is>
      </c>
      <c r="B71" s="271" t="n">
        <v>161195.5151340176</v>
      </c>
    </row>
    <row r="72">
      <c r="A72" s="161" t="inlineStr">
        <is>
          <t>BeamteB4</t>
        </is>
      </c>
      <c r="B72" s="271" t="n">
        <v>169775.6464771428</v>
      </c>
    </row>
    <row r="73">
      <c r="A73" s="161" t="inlineStr">
        <is>
          <t>BeamteB5</t>
        </is>
      </c>
      <c r="B73" s="271" t="n">
        <v>173207.54682</v>
      </c>
    </row>
    <row r="74">
      <c r="A74" s="161" t="inlineStr">
        <is>
          <t>BeamteB6</t>
        </is>
      </c>
      <c r="B74" s="271" t="n">
        <v>189121.9255443409</v>
      </c>
    </row>
    <row r="75">
      <c r="A75" s="161" t="inlineStr">
        <is>
          <t>BeamteB7</t>
        </is>
      </c>
      <c r="B75" s="271" t="n">
        <v>197654.9162457141</v>
      </c>
    </row>
    <row r="76">
      <c r="A76" s="161" t="inlineStr">
        <is>
          <t>BeamteB9</t>
        </is>
      </c>
      <c r="B76" s="271" t="n">
        <v>221179.709073488</v>
      </c>
    </row>
    <row r="77">
      <c r="A77" s="161" t="inlineStr">
        <is>
          <t>BeamteB11</t>
        </is>
      </c>
      <c r="B77" s="271" t="n">
        <v>265252.17144</v>
      </c>
    </row>
    <row r="78">
      <c r="A78" s="114" t="n"/>
      <c r="B78" s="115" t="n"/>
    </row>
    <row r="79">
      <c r="A79" s="116" t="inlineStr">
        <is>
          <t>Bei Bedarf bitte auswählen</t>
        </is>
      </c>
      <c r="B79" s="115" t="n"/>
    </row>
    <row r="80">
      <c r="A80" s="161" t="inlineStr">
        <is>
          <t>SoldatenA3</t>
        </is>
      </c>
      <c r="B80" s="271" t="n">
        <v>48517.76182464902</v>
      </c>
    </row>
    <row r="81">
      <c r="A81" s="161" t="inlineStr">
        <is>
          <t>SoldatenA3Z</t>
        </is>
      </c>
      <c r="B81" s="271" t="n">
        <v>48758.65451065223</v>
      </c>
    </row>
    <row r="82">
      <c r="A82" s="161" t="inlineStr">
        <is>
          <t>SoldatenA3-A5E</t>
        </is>
      </c>
      <c r="B82" s="271" t="n">
        <v>49967.61087342459</v>
      </c>
    </row>
    <row r="83">
      <c r="A83" s="161" t="inlineStr">
        <is>
          <t>SoldatenA4</t>
        </is>
      </c>
      <c r="B83" s="271" t="n">
        <v>49490.8865524732</v>
      </c>
    </row>
    <row r="84">
      <c r="A84" s="161" t="inlineStr">
        <is>
          <t>SoldatenA4Z</t>
        </is>
      </c>
      <c r="B84" s="271" t="n">
        <v>50196.93050734439</v>
      </c>
    </row>
    <row r="85">
      <c r="A85" s="161" t="inlineStr">
        <is>
          <t>SoldatenA5E</t>
        </is>
      </c>
      <c r="B85" s="271" t="n">
        <v>51281.25716857579</v>
      </c>
    </row>
    <row r="86">
      <c r="A86" s="161" t="inlineStr">
        <is>
          <t>SoldatenA5EZ</t>
        </is>
      </c>
      <c r="B86" s="271" t="n">
        <v>55746.89606883181</v>
      </c>
    </row>
    <row r="87">
      <c r="A87" s="161" t="inlineStr">
        <is>
          <t>SoldatenA5M</t>
        </is>
      </c>
      <c r="B87" s="271" t="n">
        <v>52490.14077642508</v>
      </c>
    </row>
    <row r="88">
      <c r="A88" s="161" t="inlineStr">
        <is>
          <t>SoldatenA6E</t>
        </is>
      </c>
      <c r="B88" s="271" t="n">
        <v>60266.08252433687</v>
      </c>
    </row>
    <row r="89">
      <c r="A89" s="161" t="inlineStr">
        <is>
          <t>SoldatenA6EZ</t>
        </is>
      </c>
      <c r="B89" s="271" t="n">
        <v>61246.51611913385</v>
      </c>
    </row>
    <row r="90">
      <c r="A90" s="161" t="inlineStr">
        <is>
          <t>SoldatenA6M</t>
        </is>
      </c>
      <c r="B90" s="271" t="n">
        <v>55164.32088692873</v>
      </c>
    </row>
    <row r="91">
      <c r="A91" s="161" t="inlineStr">
        <is>
          <t>SoldatenA5M-A7</t>
        </is>
      </c>
      <c r="B91" s="271" t="n">
        <v>58104.67617261423</v>
      </c>
    </row>
    <row r="92">
      <c r="A92" s="161" t="inlineStr">
        <is>
          <t>SoldatenA7</t>
        </is>
      </c>
      <c r="B92" s="271" t="n">
        <v>60675.61571790511</v>
      </c>
    </row>
    <row r="93">
      <c r="A93" s="161" t="inlineStr">
        <is>
          <t>SoldatenA7Z</t>
        </is>
      </c>
      <c r="B93" s="271" t="n">
        <v>60894.41214506447</v>
      </c>
    </row>
    <row r="94">
      <c r="A94" s="161" t="inlineStr">
        <is>
          <t>SoldatenA8Z</t>
        </is>
      </c>
      <c r="B94" s="271" t="n">
        <v>69504.22033367924</v>
      </c>
    </row>
    <row r="95">
      <c r="A95" s="161" t="inlineStr">
        <is>
          <t>SoldatenA7-A9MZ</t>
        </is>
      </c>
      <c r="B95" s="271" t="n">
        <v>68826.59747526683</v>
      </c>
    </row>
    <row r="96">
      <c r="A96" s="161" t="inlineStr">
        <is>
          <t>SoldatenA9M</t>
        </is>
      </c>
      <c r="B96" s="271" t="n">
        <v>79327.44860171042</v>
      </c>
    </row>
    <row r="97">
      <c r="A97" s="161" t="inlineStr">
        <is>
          <t>SoldatenA9MZ</t>
        </is>
      </c>
      <c r="B97" s="271" t="n">
        <v>86311.32655190973</v>
      </c>
    </row>
    <row r="98">
      <c r="A98" s="161" t="inlineStr">
        <is>
          <t>SoldatenA9G</t>
        </is>
      </c>
      <c r="B98" s="271" t="n">
        <v>64477.02736091278</v>
      </c>
    </row>
    <row r="99">
      <c r="A99" s="161" t="inlineStr">
        <is>
          <t>SoldatenA9G-A11</t>
        </is>
      </c>
      <c r="B99" s="271" t="n">
        <v>77566.96820249213</v>
      </c>
    </row>
    <row r="100">
      <c r="A100" s="161" t="inlineStr">
        <is>
          <t>SoldatenA10</t>
        </is>
      </c>
      <c r="B100" s="271" t="n">
        <v>73073.67434551414</v>
      </c>
    </row>
    <row r="101">
      <c r="A101" s="161" t="inlineStr">
        <is>
          <t>SoldatenA11</t>
        </is>
      </c>
      <c r="B101" s="271" t="n">
        <v>89688.67206952785</v>
      </c>
    </row>
    <row r="102">
      <c r="A102" s="161" t="inlineStr">
        <is>
          <t>SoldatenA12</t>
        </is>
      </c>
      <c r="B102" s="271" t="n">
        <v>97853.98312133919</v>
      </c>
    </row>
    <row r="103">
      <c r="A103" s="161" t="inlineStr">
        <is>
          <t>SoldatenA13G</t>
        </is>
      </c>
      <c r="B103" s="271" t="n">
        <v>115790.5868463795</v>
      </c>
    </row>
    <row r="104">
      <c r="A104" s="161" t="inlineStr">
        <is>
          <t>SoldatenA13GZ</t>
        </is>
      </c>
      <c r="B104" s="271" t="n">
        <v>120213.5071954511</v>
      </c>
    </row>
    <row r="105">
      <c r="A105" s="161" t="inlineStr">
        <is>
          <t>SoldatenA13H</t>
        </is>
      </c>
      <c r="B105" s="271" t="n">
        <v>104309.8096141952</v>
      </c>
    </row>
    <row r="106">
      <c r="A106" s="161" t="inlineStr">
        <is>
          <t>SoldatenA13H/A14</t>
        </is>
      </c>
      <c r="B106" s="271" t="n">
        <v>113255.0286191434</v>
      </c>
    </row>
    <row r="107">
      <c r="A107" s="161" t="inlineStr">
        <is>
          <t>SoldatenA14</t>
        </is>
      </c>
      <c r="B107" s="271" t="n">
        <v>117076.6205252864</v>
      </c>
    </row>
    <row r="108">
      <c r="A108" s="161" t="inlineStr">
        <is>
          <t>SoldatenA15</t>
        </is>
      </c>
      <c r="B108" s="271" t="n">
        <v>134704.0705919336</v>
      </c>
    </row>
    <row r="109">
      <c r="A109" s="161" t="inlineStr">
        <is>
          <t>SoldatenA16</t>
        </is>
      </c>
      <c r="B109" s="271" t="n">
        <v>152465.9345059684</v>
      </c>
    </row>
    <row r="110">
      <c r="A110" s="161" t="inlineStr">
        <is>
          <t>SoldatenB3</t>
        </is>
      </c>
      <c r="B110" s="271" t="n">
        <v>168603.0842532832</v>
      </c>
    </row>
    <row r="111">
      <c r="A111" s="161" t="inlineStr">
        <is>
          <t>SoldatenB6</t>
        </is>
      </c>
      <c r="B111" s="271" t="n">
        <v>197688.7351284898</v>
      </c>
    </row>
    <row r="112">
      <c r="A112" s="161" t="inlineStr">
        <is>
          <t>SoldatenB7</t>
        </is>
      </c>
      <c r="B112" s="271" t="n">
        <v>207851.2109582816</v>
      </c>
    </row>
    <row r="113">
      <c r="A113" s="161" t="inlineStr">
        <is>
          <t>SoldatenB9</t>
        </is>
      </c>
      <c r="B113" s="271" t="n">
        <v>228896.3778297142</v>
      </c>
    </row>
    <row r="114">
      <c r="A114" s="161" t="inlineStr">
        <is>
          <t>SoldatenB10</t>
        </is>
      </c>
      <c r="B114" s="271" t="n">
        <v>271894.6502921746</v>
      </c>
    </row>
    <row r="115">
      <c r="A115" s="161" t="inlineStr">
        <is>
          <t>SoldatenB10Z</t>
        </is>
      </c>
      <c r="B115" s="271" t="n">
        <v>276064.7528600001</v>
      </c>
    </row>
    <row r="116">
      <c r="A116" s="114" t="n"/>
      <c r="B116" s="115" t="n"/>
    </row>
    <row r="117">
      <c r="A117" s="116" t="inlineStr">
        <is>
          <t>Bei Bedarf bitte auswählen</t>
        </is>
      </c>
      <c r="B117" s="115" t="n"/>
    </row>
    <row r="118">
      <c r="A118" s="161" t="inlineStr">
        <is>
          <t>ArbeitnehmerE2UE</t>
        </is>
      </c>
      <c r="B118" s="271" t="n">
        <v>53267.79672632799</v>
      </c>
    </row>
    <row r="119">
      <c r="A119" s="161" t="inlineStr">
        <is>
          <t>ArbeitnehmerE2</t>
        </is>
      </c>
      <c r="B119" s="272" t="n">
        <v>53292.64574881052</v>
      </c>
    </row>
    <row r="120">
      <c r="A120" s="161" t="inlineStr">
        <is>
          <t>ArbeitnehmerE3</t>
        </is>
      </c>
      <c r="B120" s="272" t="n">
        <v>55706.27391407471</v>
      </c>
    </row>
    <row r="121">
      <c r="A121" s="161" t="inlineStr">
        <is>
          <t>ArbeitnehmerE4</t>
        </is>
      </c>
      <c r="B121" s="271" t="n">
        <v>57326.38604660904</v>
      </c>
    </row>
    <row r="122">
      <c r="A122" s="161" t="inlineStr">
        <is>
          <t>ArbeitnehmerE5</t>
        </is>
      </c>
      <c r="B122" s="271" t="n">
        <v>59520.23004720596</v>
      </c>
    </row>
    <row r="123">
      <c r="A123" s="161" t="inlineStr">
        <is>
          <t>ArbeitnehmerE6</t>
        </is>
      </c>
      <c r="B123" s="271" t="n">
        <v>62081.18671882254</v>
      </c>
    </row>
    <row r="124">
      <c r="A124" s="161" t="inlineStr">
        <is>
          <t>ArbeitnehmerE7</t>
        </is>
      </c>
      <c r="B124" s="271" t="n">
        <v>64797.97713327518</v>
      </c>
    </row>
    <row r="125">
      <c r="A125" s="161" t="inlineStr">
        <is>
          <t>ArbeitnehmerE8</t>
        </is>
      </c>
      <c r="B125" s="271" t="n">
        <v>67482.88574944579</v>
      </c>
    </row>
    <row r="126">
      <c r="A126" s="161" t="inlineStr">
        <is>
          <t>ArbeitnehmerE9A</t>
        </is>
      </c>
      <c r="B126" s="271" t="n">
        <v>74215.53102516994</v>
      </c>
    </row>
    <row r="127">
      <c r="A127" s="161" t="inlineStr">
        <is>
          <t>ArbeitnehmerE9B</t>
        </is>
      </c>
      <c r="B127" s="271" t="n">
        <v>80861.16376701531</v>
      </c>
    </row>
    <row r="128">
      <c r="A128" s="161" t="inlineStr">
        <is>
          <t>ArbeitnehmerE9C</t>
        </is>
      </c>
      <c r="B128" s="271" t="n">
        <v>84012.27315668712</v>
      </c>
    </row>
    <row r="129">
      <c r="A129" s="161" t="inlineStr">
        <is>
          <t>ArbeitnehmerE10</t>
        </is>
      </c>
      <c r="B129" s="271" t="n">
        <v>84272.22534026077</v>
      </c>
    </row>
    <row r="130">
      <c r="A130" s="161" t="inlineStr">
        <is>
          <t>ArbeitnehmerE11</t>
        </is>
      </c>
      <c r="B130" s="271" t="n">
        <v>93039.4308883381</v>
      </c>
    </row>
    <row r="131">
      <c r="A131" s="161" t="inlineStr">
        <is>
          <t>ArbeitnehmerE12</t>
        </is>
      </c>
      <c r="B131" s="271" t="n">
        <v>102991.3337650282</v>
      </c>
    </row>
    <row r="132">
      <c r="A132" s="161" t="inlineStr">
        <is>
          <t>ArbeitnehmerE13</t>
        </is>
      </c>
      <c r="B132" s="271" t="n">
        <v>90811.64582833221</v>
      </c>
    </row>
    <row r="133">
      <c r="A133" s="161" t="inlineStr">
        <is>
          <t>ArbeitnehmerE14</t>
        </is>
      </c>
      <c r="B133" s="271" t="n">
        <v>105632.4447616941</v>
      </c>
    </row>
    <row r="134">
      <c r="A134" s="161" t="inlineStr">
        <is>
          <t>ArbeitnehmerE15</t>
        </is>
      </c>
      <c r="B134" s="271" t="n">
        <v>117889.2027600416</v>
      </c>
    </row>
    <row r="135">
      <c r="A135" s="161" t="inlineStr">
        <is>
          <t>ArbeitnehmerE15UE</t>
        </is>
      </c>
      <c r="B135" s="271" t="n">
        <v>136274.6325190137</v>
      </c>
    </row>
    <row r="136">
      <c r="A136" s="161" t="inlineStr">
        <is>
          <t>ArbeitnehmerB1</t>
        </is>
      </c>
      <c r="B136" s="271" t="n">
        <v>127094.78400894</v>
      </c>
    </row>
    <row r="137">
      <c r="A137" s="161" t="inlineStr">
        <is>
          <t>ArbeitnehmerB2</t>
        </is>
      </c>
      <c r="B137" s="271" t="n">
        <v>137878.667429636</v>
      </c>
    </row>
    <row r="138">
      <c r="A138" s="161" t="inlineStr">
        <is>
          <t>ArbeitnehmerB6</t>
        </is>
      </c>
      <c r="B138" s="271" t="n">
        <v>167604.365049302</v>
      </c>
    </row>
    <row r="139">
      <c r="A139" s="161" t="inlineStr">
        <is>
          <t>ArbeitnehmerB6</t>
        </is>
      </c>
      <c r="B139" s="271" t="n">
        <v>158392.9985681549</v>
      </c>
    </row>
    <row r="140">
      <c r="A140" s="114" t="n"/>
      <c r="B140" s="115" t="n"/>
    </row>
    <row r="141" ht="19.5" customHeight="1" s="12">
      <c r="A141" s="116" t="inlineStr">
        <is>
          <t>Normkosten: 
Bei Bedarf bitte auswählen</t>
        </is>
      </c>
    </row>
    <row r="142">
      <c r="A142" s="116" t="inlineStr">
        <is>
          <t>Personalnormkosten Arbeitnehmer</t>
        </is>
      </c>
    </row>
    <row r="143">
      <c r="A143" s="116" t="inlineStr">
        <is>
          <t>Personalnormkosten Beamte</t>
        </is>
      </c>
    </row>
    <row r="144">
      <c r="A144" s="116" t="inlineStr">
        <is>
          <t>Personalnormkosten Soldaten</t>
        </is>
      </c>
    </row>
  </sheetData>
  <dataValidations count="1">
    <dataValidation sqref="A41" showDropDown="0" showInputMessage="1" showErrorMessage="1" allowBlank="1" type="list">
      <formula1>"Ein, Aus"</formula1>
    </dataValidation>
  </dataValidations>
  <pageMargins left="0.7" right="0.7" top="0.787401575" bottom="0.7874015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2022-12-14T08:03:05Z</dcterms:created>
  <dcterms:modified xmlns:dcterms="http://purl.org/dc/terms/" xmlns:xsi="http://www.w3.org/2001/XMLSchema-instance" xsi:type="dcterms:W3CDTF">2026-04-15T10:38:49Z</dcterms:modified>
  <cp:lastModifiedBy>KompZWUBw</cp:lastModifiedBy>
  <cp:lastPrinted>2024-12-09T09:10:00Z</cp:lastPrinted>
</cp:coreProperties>
</file>