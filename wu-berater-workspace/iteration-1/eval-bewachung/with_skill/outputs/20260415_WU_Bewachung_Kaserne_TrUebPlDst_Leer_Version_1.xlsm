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emf" ContentType="image/x-emf"/>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DieseArbeitsmappe"/>
  <workbookProtection lockStructure="1" workbookAlgorithmName="SHA-512" workbookHashValue="tKdzX4x2mbZAExj5822gC0FNIUkr1eQHnfXq0LMhp+olYDMBzMeykMyDN9KMfQX4boistdWnaY2XjuC/BadOTQ==" workbookSaltValue="XUlvsMNkuAuDMcN4//kQ4g==" workbookSpinCount="100000"/>
  <bookViews>
    <workbookView visibility="visible" minimized="0" showHorizontalScroll="1" showVerticalScroll="1" showSheetTabs="1" xWindow="-28920" yWindow="30" windowWidth="29040" windowHeight="15720" tabRatio="600" firstSheet="0" activeTab="0" autoFilterDateGrouping="1"/>
  </bookViews>
  <sheets>
    <sheet xmlns:r="http://schemas.openxmlformats.org/officeDocument/2006/relationships" name="WU" sheetId="1" state="visible" r:id="rId1"/>
    <sheet xmlns:r="http://schemas.openxmlformats.org/officeDocument/2006/relationships" name="Anlagen" sheetId="2" state="visible" r:id="rId2"/>
    <sheet xmlns:r="http://schemas.openxmlformats.org/officeDocument/2006/relationships" name="Hilfstabelle" sheetId="3" state="hidden" r:id="rId3"/>
    <sheet xmlns:r="http://schemas.openxmlformats.org/officeDocument/2006/relationships" name="Anlage - Marktrecherche" sheetId="4" state="visible" r:id="rId4"/>
  </sheets>
  <definedNames>
    <definedName name="_xlnm.Print_Area" localSheetId="0">'WU'!$A$1:$G$117</definedName>
  </definedNames>
  <calcPr calcId="191029" fullCalcOnLoad="1"/>
</workbook>
</file>

<file path=xl/styles.xml><?xml version="1.0" encoding="utf-8"?>
<styleSheet xmlns="http://schemas.openxmlformats.org/spreadsheetml/2006/main">
  <numFmts count="5">
    <numFmt numFmtId="164" formatCode="0.0"/>
    <numFmt numFmtId="165" formatCode="#,##0.00\ &quot;€&quot;"/>
    <numFmt numFmtId="166" formatCode="#,##0\ _€"/>
    <numFmt numFmtId="167" formatCode="_-* #,##0.00_-;\-* #,##0.00_-;_-* &quot;-&quot;??_-;_-@_-"/>
    <numFmt numFmtId="168" formatCode="_(&quot;€&quot;* #,##0.00_);_(&quot;€&quot;* \(#,##0.00\);_(&quot;€&quot;* &quot;-&quot;??_);_(@_)"/>
  </numFmts>
  <fonts count="37">
    <font>
      <name val="Calibri"/>
      <family val="2"/>
      <color theme="1"/>
      <sz val="11"/>
      <scheme val="minor"/>
    </font>
    <font>
      <name val="Calibri"/>
      <family val="2"/>
      <color theme="1"/>
      <sz val="11"/>
      <scheme val="minor"/>
    </font>
    <font>
      <name val="Arial"/>
      <family val="2"/>
      <color theme="1"/>
      <sz val="9"/>
    </font>
    <font>
      <name val="Calibri"/>
      <family val="2"/>
      <sz val="11"/>
      <scheme val="minor"/>
    </font>
    <font>
      <name val="Arial"/>
      <family val="2"/>
      <b val="1"/>
      <color theme="0"/>
      <sz val="9"/>
    </font>
    <font>
      <name val="Calibri"/>
      <family val="2"/>
      <b val="1"/>
      <color theme="1"/>
      <sz val="11"/>
      <scheme val="minor"/>
    </font>
    <font>
      <name val="BundesSans Regular"/>
      <family val="2"/>
      <b val="1"/>
      <color theme="0"/>
      <sz val="9"/>
    </font>
    <font>
      <name val="BundesSans Regular"/>
      <family val="2"/>
      <color theme="1"/>
      <sz val="11"/>
    </font>
    <font>
      <name val="BundesSans Office"/>
      <family val="2"/>
      <color theme="1"/>
      <sz val="9"/>
    </font>
    <font>
      <name val="BundesSans Office"/>
      <family val="2"/>
      <b val="1"/>
      <color theme="0"/>
      <sz val="9"/>
    </font>
    <font>
      <name val="BundesSans Office"/>
      <family val="2"/>
      <b val="1"/>
      <color theme="1"/>
      <sz val="11"/>
    </font>
    <font>
      <name val="BundesSans Office"/>
      <family val="2"/>
      <b val="1"/>
      <color theme="1"/>
      <sz val="8"/>
    </font>
    <font>
      <name val="BundesSans Office"/>
      <family val="2"/>
      <color indexed="8"/>
      <sz val="8"/>
    </font>
    <font>
      <name val="BundesSans Office"/>
      <family val="2"/>
      <b val="1"/>
      <color theme="1"/>
      <sz val="9"/>
    </font>
    <font>
      <name val="BundesSans Office"/>
      <family val="2"/>
      <b val="1"/>
      <i val="1"/>
      <color indexed="8"/>
      <sz val="9"/>
    </font>
    <font>
      <name val="BundesSans Office"/>
      <family val="2"/>
      <color indexed="8"/>
      <sz val="9"/>
    </font>
    <font>
      <name val="BundesSans Office"/>
      <family val="2"/>
      <color indexed="9"/>
      <sz val="9"/>
    </font>
    <font>
      <name val="BundesSans Office"/>
      <family val="2"/>
      <color theme="0"/>
      <sz val="9"/>
    </font>
    <font>
      <name val="BundesSans Office"/>
      <family val="2"/>
      <b val="1"/>
      <color theme="0"/>
      <sz val="6"/>
    </font>
    <font>
      <name val="BundesSans Office"/>
      <family val="2"/>
      <b val="1"/>
      <i val="1"/>
      <color theme="1"/>
      <sz val="9"/>
    </font>
    <font>
      <name val="BundesSans Office"/>
      <family val="2"/>
      <i val="1"/>
      <color theme="1"/>
      <sz val="9"/>
    </font>
    <font>
      <name val="BundesSans Office"/>
      <family val="2"/>
      <b val="1"/>
      <sz val="9"/>
    </font>
    <font>
      <name val="BundesSans Office"/>
      <family val="2"/>
      <sz val="9"/>
    </font>
    <font>
      <name val="BundesSans Office"/>
      <family val="2"/>
      <i val="1"/>
      <color indexed="8"/>
      <sz val="9"/>
    </font>
    <font>
      <name val="BundesSans Office"/>
      <family val="2"/>
      <sz val="8"/>
    </font>
    <font>
      <name val="BundesSans Office"/>
      <family val="2"/>
      <i val="1"/>
      <color theme="0" tint="-0.499984740745262"/>
      <sz val="8"/>
    </font>
    <font>
      <name val="BundesSans Office"/>
      <family val="2"/>
      <b val="1"/>
      <color indexed="8"/>
      <sz val="9"/>
    </font>
    <font>
      <name val="BundesSans Office"/>
      <family val="2"/>
      <i val="1"/>
      <color theme="1"/>
      <sz val="9"/>
      <u val="single"/>
    </font>
    <font>
      <name val="Arial Narrow"/>
      <family val="2"/>
      <color theme="1"/>
      <sz val="7"/>
    </font>
    <font>
      <name val="Arial"/>
      <family val="2"/>
      <color theme="1"/>
      <sz val="10"/>
    </font>
    <font>
      <name val="BundesSans Office"/>
      <family val="2"/>
      <b val="1"/>
      <i val="1"/>
      <sz val="9"/>
    </font>
    <font>
      <name val="BundesSans Office"/>
      <family val="2"/>
      <b val="1"/>
      <i val="1"/>
      <sz val="8"/>
    </font>
    <font>
      <name val="BundesSans Office"/>
      <family val="2"/>
      <b val="1"/>
      <color rgb="FFFF0000"/>
      <sz val="9"/>
    </font>
    <font>
      <name val="Arial Narrow"/>
      <family val="2"/>
      <color theme="1"/>
      <sz val="7"/>
      <u val="single"/>
    </font>
    <font>
      <b val="1"/>
      <color rgb="001F3864"/>
      <sz val="12"/>
    </font>
    <font>
      <b val="1"/>
      <color rgb="00FFFFFF"/>
      <sz val="10"/>
    </font>
    <font>
      <i val="1"/>
      <color rgb="00595959"/>
      <sz val="9"/>
    </font>
  </fonts>
  <fills count="9">
    <fill>
      <patternFill/>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9" tint="0.7999816888943144"/>
        <bgColor indexed="64"/>
      </patternFill>
    </fill>
    <fill>
      <patternFill patternType="solid">
        <fgColor rgb="FFFFFFB7"/>
        <bgColor indexed="64"/>
      </patternFill>
    </fill>
    <fill>
      <patternFill patternType="solid">
        <fgColor theme="3" tint="0.7999816888943144"/>
        <bgColor indexed="64"/>
      </patternFill>
    </fill>
    <fill>
      <patternFill patternType="solid">
        <fgColor theme="9" tint="0.5999938962981048"/>
        <bgColor indexed="64"/>
      </patternFill>
    </fill>
    <fill>
      <patternFill patternType="solid">
        <fgColor rgb="001F3864"/>
        <bgColor rgb="001F3864"/>
      </patternFill>
    </fill>
  </fills>
  <borders count="45">
    <border>
      <left/>
      <right/>
      <top/>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medium">
        <color indexed="64"/>
      </left>
      <right style="medium">
        <color indexed="64"/>
      </right>
      <top/>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medium">
        <color indexed="64"/>
      </right>
      <top/>
      <bottom style="thin">
        <color indexed="64"/>
      </bottom>
      <diagonal/>
    </border>
    <border>
      <left style="thin">
        <color indexed="64"/>
      </left>
      <right/>
      <top/>
      <bottom style="medium">
        <color indexed="64"/>
      </bottom>
      <diagonal/>
    </border>
    <border>
      <left/>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style="medium">
        <color indexed="64"/>
      </right>
      <top/>
      <bottom style="medium">
        <color indexed="64"/>
      </bottom>
      <diagonal/>
    </border>
    <border>
      <left style="thin"/>
      <right style="thin"/>
      <top style="thin"/>
      <bottom style="thin"/>
    </border>
  </borders>
  <cellStyleXfs count="4">
    <xf numFmtId="0" fontId="1" fillId="0" borderId="0"/>
    <xf numFmtId="168" fontId="1" fillId="0" borderId="0"/>
    <xf numFmtId="9" fontId="1" fillId="0" borderId="0"/>
    <xf numFmtId="43" fontId="1" fillId="0" borderId="0"/>
  </cellStyleXfs>
  <cellXfs count="277">
    <xf numFmtId="0" fontId="0" fillId="0" borderId="0" pivotButton="0" quotePrefix="0" xfId="0"/>
    <xf numFmtId="0" fontId="0" fillId="0" borderId="0" applyAlignment="1" pivotButton="0" quotePrefix="0" xfId="0">
      <alignment horizontal="left"/>
    </xf>
    <xf numFmtId="0" fontId="0" fillId="0" borderId="0" applyAlignment="1" pivotButton="0" quotePrefix="0" xfId="0">
      <alignment horizontal="right"/>
    </xf>
    <xf numFmtId="164" fontId="0" fillId="0" borderId="0" applyAlignment="1" pivotButton="0" quotePrefix="1" xfId="0">
      <alignment horizontal="right"/>
    </xf>
    <xf numFmtId="1" fontId="0" fillId="0" borderId="0" applyAlignment="1" pivotButton="0" quotePrefix="0" xfId="0">
      <alignment horizontal="right"/>
    </xf>
    <xf numFmtId="164" fontId="0" fillId="0" borderId="0" applyAlignment="1" pivotButton="0" quotePrefix="0" xfId="0">
      <alignment horizontal="right"/>
    </xf>
    <xf numFmtId="0" fontId="0" fillId="0" borderId="0" applyAlignment="1" pivotButton="0" quotePrefix="0" xfId="0">
      <alignment wrapText="1"/>
    </xf>
    <xf numFmtId="0" fontId="2" fillId="0" borderId="0" applyAlignment="1" applyProtection="1" pivotButton="0" quotePrefix="0" xfId="0">
      <alignment vertical="center" wrapText="1"/>
      <protection locked="0" hidden="0"/>
    </xf>
    <xf numFmtId="0" fontId="2" fillId="0" borderId="0" applyAlignment="1" pivotButton="0" quotePrefix="0" xfId="0">
      <alignment vertical="center" wrapText="1"/>
    </xf>
    <xf numFmtId="0" fontId="3" fillId="0" borderId="0" pivotButton="0" quotePrefix="0" xfId="0"/>
    <xf numFmtId="0" fontId="5" fillId="0" borderId="0" pivotButton="0" quotePrefix="0" xfId="0"/>
    <xf numFmtId="0" fontId="0" fillId="4" borderId="0" pivotButton="0" quotePrefix="0" xfId="0"/>
    <xf numFmtId="0" fontId="0" fillId="0" borderId="0" pivotButton="0" quotePrefix="0" xfId="0"/>
    <xf numFmtId="165" fontId="4" fillId="0" borderId="0" applyAlignment="1" pivotButton="0" quotePrefix="0" xfId="0">
      <alignment vertical="center"/>
    </xf>
    <xf numFmtId="165" fontId="6" fillId="3" borderId="0" applyAlignment="1" pivotButton="0" quotePrefix="0" xfId="0">
      <alignment vertical="center"/>
    </xf>
    <xf numFmtId="0" fontId="7" fillId="3" borderId="0" pivotButton="0" quotePrefix="0" xfId="0"/>
    <xf numFmtId="165" fontId="9" fillId="3" borderId="0" applyAlignment="1" pivotButton="0" quotePrefix="0" xfId="0">
      <alignment vertical="center"/>
    </xf>
    <xf numFmtId="0" fontId="8" fillId="2" borderId="1" applyAlignment="1" applyProtection="1" pivotButton="0" quotePrefix="0" xfId="0">
      <alignment horizontal="centerContinuous" vertical="center" wrapText="1"/>
      <protection locked="0" hidden="0"/>
    </xf>
    <xf numFmtId="0" fontId="8" fillId="3" borderId="3" applyAlignment="1" applyProtection="1" pivotButton="0" quotePrefix="0" xfId="0">
      <alignment horizontal="centerContinuous" vertical="center" wrapText="1"/>
      <protection locked="0" hidden="0"/>
    </xf>
    <xf numFmtId="14" fontId="8" fillId="2" borderId="5" applyAlignment="1" applyProtection="1" pivotButton="0" quotePrefix="0" xfId="0">
      <alignment horizontal="centerContinuous" vertical="center" wrapText="1"/>
      <protection locked="0" hidden="0"/>
    </xf>
    <xf numFmtId="0" fontId="8" fillId="3" borderId="4" applyAlignment="1" applyProtection="1" pivotButton="0" quotePrefix="0" xfId="0">
      <alignment horizontal="center" vertical="center" wrapText="1"/>
      <protection locked="0" hidden="0"/>
    </xf>
    <xf numFmtId="14" fontId="8" fillId="2" borderId="1" applyAlignment="1" applyProtection="1" pivotButton="0" quotePrefix="0" xfId="0">
      <alignment horizontal="centerContinuous" vertical="center" wrapText="1"/>
      <protection locked="0" hidden="0"/>
    </xf>
    <xf numFmtId="0" fontId="8" fillId="3" borderId="5" applyAlignment="1" applyProtection="1" pivotButton="0" quotePrefix="0" xfId="0">
      <alignment vertical="center" wrapText="1"/>
      <protection locked="0" hidden="0"/>
    </xf>
    <xf numFmtId="0" fontId="8" fillId="3" borderId="4" applyAlignment="1" pivotButton="0" quotePrefix="0" xfId="0">
      <alignment horizontal="centerContinuous" vertical="center" wrapText="1"/>
    </xf>
    <xf numFmtId="0" fontId="8" fillId="3" borderId="3" applyAlignment="1" pivotButton="0" quotePrefix="0" xfId="0">
      <alignment horizontal="centerContinuous" vertical="center" wrapText="1"/>
    </xf>
    <xf numFmtId="0" fontId="8" fillId="3" borderId="1" applyAlignment="1" pivotButton="0" quotePrefix="0" xfId="0">
      <alignment horizontal="centerContinuous" vertical="center" wrapText="1"/>
    </xf>
    <xf numFmtId="0" fontId="8" fillId="2" borderId="1" applyAlignment="1" pivotButton="0" quotePrefix="0" xfId="0">
      <alignment horizontal="centerContinuous" vertical="center" wrapText="1"/>
    </xf>
    <xf numFmtId="0" fontId="8" fillId="3" borderId="7" applyAlignment="1" applyProtection="1" pivotButton="0" quotePrefix="0" xfId="0">
      <alignment horizontal="center" vertical="center" wrapText="1"/>
      <protection locked="0" hidden="0"/>
    </xf>
    <xf numFmtId="0" fontId="8" fillId="2" borderId="25" applyAlignment="1" pivotButton="0" quotePrefix="0" xfId="0">
      <alignment horizontal="centerContinuous" vertical="center" wrapText="1"/>
    </xf>
    <xf numFmtId="0" fontId="8" fillId="3" borderId="25" applyAlignment="1" pivotButton="0" quotePrefix="0" xfId="0">
      <alignment horizontal="centerContinuous" vertical="center" wrapText="1"/>
    </xf>
    <xf numFmtId="0" fontId="8" fillId="3" borderId="26" applyAlignment="1" pivotButton="0" quotePrefix="0" xfId="0">
      <alignment horizontal="centerContinuous" vertical="center" wrapText="1"/>
    </xf>
    <xf numFmtId="0" fontId="8" fillId="3" borderId="5" applyAlignment="1" applyProtection="1" pivotButton="0" quotePrefix="0" xfId="0">
      <alignment horizontal="center" vertical="center" wrapText="1"/>
      <protection locked="0" hidden="0"/>
    </xf>
    <xf numFmtId="0" fontId="8" fillId="3" borderId="5" applyAlignment="1" pivotButton="0" quotePrefix="0" xfId="0">
      <alignment horizontal="center" vertical="center" wrapText="1"/>
    </xf>
    <xf numFmtId="0" fontId="8" fillId="0" borderId="3" applyAlignment="1" pivotButton="0" quotePrefix="0" xfId="0">
      <alignment horizontal="centerContinuous" vertical="center" wrapText="1"/>
    </xf>
    <xf numFmtId="0" fontId="13" fillId="3" borderId="7" applyAlignment="1" pivotButton="0" quotePrefix="0" xfId="0">
      <alignment horizontal="right" vertical="center" wrapText="1"/>
    </xf>
    <xf numFmtId="0" fontId="13" fillId="3" borderId="6" applyAlignment="1" pivotButton="0" quotePrefix="0" xfId="0">
      <alignment horizontal="left" vertical="center" wrapText="1"/>
    </xf>
    <xf numFmtId="1" fontId="13" fillId="3" borderId="6" applyAlignment="1" pivotButton="0" quotePrefix="1" xfId="0">
      <alignment horizontal="left" vertical="center" wrapText="1"/>
    </xf>
    <xf numFmtId="0" fontId="8" fillId="2" borderId="4" applyAlignment="1" pivotButton="0" quotePrefix="0" xfId="0">
      <alignment horizontal="centerContinuous" vertical="center" wrapText="1"/>
    </xf>
    <xf numFmtId="0" fontId="13" fillId="3" borderId="1" applyAlignment="1" pivotButton="0" quotePrefix="0" xfId="0">
      <alignment vertical="center" wrapText="1"/>
    </xf>
    <xf numFmtId="0" fontId="13" fillId="3" borderId="4" applyAlignment="1" pivotButton="0" quotePrefix="0" xfId="0">
      <alignment vertical="center" wrapText="1"/>
    </xf>
    <xf numFmtId="0" fontId="19" fillId="3" borderId="5" applyAlignment="1" pivotButton="0" quotePrefix="0" xfId="0">
      <alignment horizontal="center" vertical="center" wrapText="1"/>
    </xf>
    <xf numFmtId="0" fontId="13" fillId="3" borderId="3" applyAlignment="1" pivotButton="0" quotePrefix="0" xfId="0">
      <alignment horizontal="center" vertical="center" wrapText="1"/>
    </xf>
    <xf numFmtId="0" fontId="13" fillId="3" borderId="8" applyAlignment="1" applyProtection="1" pivotButton="0" quotePrefix="0" xfId="0">
      <alignment horizontal="left" wrapText="1"/>
      <protection locked="0" hidden="0"/>
    </xf>
    <xf numFmtId="0" fontId="20" fillId="3" borderId="28" applyAlignment="1" pivotButton="0" quotePrefix="0" xfId="0">
      <alignment horizontal="centerContinuous" vertical="center" wrapText="1"/>
    </xf>
    <xf numFmtId="0" fontId="21" fillId="3" borderId="10" applyAlignment="1" pivotButton="0" quotePrefix="0" xfId="0">
      <alignment horizontal="center" vertical="center" wrapText="1"/>
    </xf>
    <xf numFmtId="0" fontId="22" fillId="2" borderId="11" applyAlignment="1" pivotButton="0" quotePrefix="0" xfId="0">
      <alignment horizontal="center" vertical="center" wrapText="1"/>
    </xf>
    <xf numFmtId="0" fontId="22" fillId="2" borderId="11" applyAlignment="1" pivotButton="0" quotePrefix="0" xfId="0">
      <alignment horizontal="center" vertical="center"/>
    </xf>
    <xf numFmtId="165" fontId="22" fillId="2" borderId="22" applyAlignment="1" pivotButton="0" quotePrefix="0" xfId="0">
      <alignment horizontal="center" vertical="center"/>
    </xf>
    <xf numFmtId="165" fontId="13" fillId="3" borderId="12" applyAlignment="1" pivotButton="0" quotePrefix="0" xfId="0">
      <alignment horizontal="center" vertical="center"/>
    </xf>
    <xf numFmtId="0" fontId="13" fillId="3" borderId="8" applyAlignment="1" applyProtection="1" pivotButton="0" quotePrefix="0" xfId="0">
      <alignment horizontal="left" vertical="top" wrapText="1"/>
      <protection locked="0" hidden="0"/>
    </xf>
    <xf numFmtId="0" fontId="8" fillId="3" borderId="8" applyAlignment="1" applyProtection="1" pivotButton="0" quotePrefix="0" xfId="0">
      <alignment vertical="top" wrapText="1"/>
      <protection locked="0" hidden="0"/>
    </xf>
    <xf numFmtId="0" fontId="20" fillId="3" borderId="5" applyAlignment="1" pivotButton="0" quotePrefix="0" xfId="0">
      <alignment horizontal="center" vertical="center" wrapText="1"/>
    </xf>
    <xf numFmtId="0" fontId="24" fillId="2" borderId="4" applyAlignment="1" pivotButton="0" quotePrefix="0" xfId="0">
      <alignment horizontal="centerContinuous" vertical="center" wrapText="1"/>
    </xf>
    <xf numFmtId="0" fontId="25" fillId="3" borderId="4" applyAlignment="1" pivotButton="0" quotePrefix="0" xfId="0">
      <alignment horizontal="centerContinuous" vertical="center" wrapText="1"/>
    </xf>
    <xf numFmtId="0" fontId="25" fillId="3" borderId="3" applyAlignment="1" pivotButton="0" quotePrefix="0" xfId="0">
      <alignment horizontal="centerContinuous" vertical="center" wrapText="1"/>
    </xf>
    <xf numFmtId="165" fontId="13" fillId="2" borderId="5" applyAlignment="1" pivotButton="0" quotePrefix="0" xfId="0">
      <alignment horizontal="center" vertical="center"/>
    </xf>
    <xf numFmtId="0" fontId="8" fillId="3" borderId="8" applyAlignment="1" applyProtection="1" pivotButton="0" quotePrefix="0" xfId="0">
      <alignment horizontal="centerContinuous" vertical="top" wrapText="1"/>
      <protection locked="0" hidden="0"/>
    </xf>
    <xf numFmtId="0" fontId="20" fillId="3" borderId="28" applyAlignment="1" pivotButton="0" quotePrefix="0" xfId="0">
      <alignment horizontal="center" vertical="center" wrapText="1"/>
    </xf>
    <xf numFmtId="165" fontId="13" fillId="2" borderId="12" applyAlignment="1" pivotButton="0" quotePrefix="0" xfId="0">
      <alignment horizontal="center" vertical="center"/>
    </xf>
    <xf numFmtId="0" fontId="20" fillId="3" borderId="29" applyAlignment="1" pivotButton="0" quotePrefix="0" xfId="0">
      <alignment vertical="center" wrapText="1"/>
    </xf>
    <xf numFmtId="0" fontId="13" fillId="3" borderId="30" applyAlignment="1" pivotButton="0" quotePrefix="0" xfId="0">
      <alignment vertical="center" wrapText="1"/>
    </xf>
    <xf numFmtId="0" fontId="13" fillId="3" borderId="0" applyAlignment="1" pivotButton="0" quotePrefix="0" xfId="0">
      <alignment vertical="center" wrapText="1"/>
    </xf>
    <xf numFmtId="0" fontId="13" fillId="3" borderId="34" applyAlignment="1" pivotButton="0" quotePrefix="0" xfId="0">
      <alignment vertical="center" wrapText="1"/>
    </xf>
    <xf numFmtId="0" fontId="20" fillId="3" borderId="30" applyAlignment="1" pivotButton="0" quotePrefix="0" xfId="0">
      <alignment horizontal="center" vertical="center" wrapText="1"/>
    </xf>
    <xf numFmtId="165" fontId="13" fillId="2" borderId="31" applyAlignment="1" pivotButton="0" quotePrefix="0" xfId="0">
      <alignment horizontal="center" vertical="center"/>
    </xf>
    <xf numFmtId="0" fontId="22" fillId="2" borderId="1" applyAlignment="1" pivotButton="0" quotePrefix="0" xfId="0">
      <alignment horizontal="centerContinuous" vertical="center" wrapText="1"/>
    </xf>
    <xf numFmtId="0" fontId="13" fillId="3" borderId="5" applyAlignment="1" pivotButton="0" quotePrefix="0" xfId="0">
      <alignment horizontal="center" vertical="center" wrapText="1"/>
    </xf>
    <xf numFmtId="0" fontId="24" fillId="2" borderId="25" applyAlignment="1" pivotButton="0" quotePrefix="0" xfId="0">
      <alignment horizontal="centerContinuous" vertical="center" wrapText="1"/>
    </xf>
    <xf numFmtId="0" fontId="25" fillId="3" borderId="25" applyAlignment="1" pivotButton="0" quotePrefix="0" xfId="0">
      <alignment horizontal="centerContinuous" vertical="center" wrapText="1"/>
    </xf>
    <xf numFmtId="0" fontId="25" fillId="3" borderId="26" applyAlignment="1" pivotButton="0" quotePrefix="0" xfId="0">
      <alignment horizontal="centerContinuous" vertical="center" wrapText="1"/>
    </xf>
    <xf numFmtId="165" fontId="13" fillId="2" borderId="29" applyAlignment="1" pivotButton="0" quotePrefix="0" xfId="0">
      <alignment horizontal="center" vertical="center"/>
    </xf>
    <xf numFmtId="0" fontId="20" fillId="3" borderId="28" applyAlignment="1" pivotButton="0" quotePrefix="0" xfId="0">
      <alignment vertical="center" wrapText="1"/>
    </xf>
    <xf numFmtId="0" fontId="22" fillId="3" borderId="8" applyAlignment="1" applyProtection="1" pivotButton="0" quotePrefix="0" xfId="0">
      <alignment horizontal="left" vertical="top" wrapText="1"/>
      <protection locked="0" hidden="0"/>
    </xf>
    <xf numFmtId="165" fontId="13" fillId="3" borderId="31" applyAlignment="1" pivotButton="0" quotePrefix="0" xfId="0">
      <alignment horizontal="center" vertical="center"/>
    </xf>
    <xf numFmtId="0" fontId="22" fillId="2" borderId="15" applyAlignment="1" pivotButton="0" quotePrefix="0" xfId="0">
      <alignment horizontal="center" vertical="center" wrapText="1"/>
    </xf>
    <xf numFmtId="0" fontId="22" fillId="2" borderId="15" applyAlignment="1" pivotButton="0" quotePrefix="0" xfId="0">
      <alignment horizontal="center" vertical="center"/>
    </xf>
    <xf numFmtId="165" fontId="22" fillId="2" borderId="16" applyAlignment="1" pivotButton="0" quotePrefix="0" xfId="0">
      <alignment horizontal="center" vertical="center"/>
    </xf>
    <xf numFmtId="0" fontId="13" fillId="3" borderId="0" applyAlignment="1" pivotButton="0" quotePrefix="0" xfId="0">
      <alignment horizontal="center" vertical="center" wrapText="1"/>
    </xf>
    <xf numFmtId="0" fontId="13" fillId="0" borderId="5" applyAlignment="1" pivotButton="0" quotePrefix="0" xfId="0">
      <alignment horizontal="center" vertical="center" wrapText="1"/>
    </xf>
    <xf numFmtId="0" fontId="8" fillId="3" borderId="7" applyAlignment="1" applyProtection="1" pivotButton="0" quotePrefix="0" xfId="0">
      <alignment vertical="center" wrapText="1"/>
      <protection locked="0" hidden="0"/>
    </xf>
    <xf numFmtId="0" fontId="8" fillId="3" borderId="32" applyAlignment="1" applyProtection="1" pivotButton="0" quotePrefix="0" xfId="0">
      <alignment vertical="center" wrapText="1"/>
      <protection locked="0" hidden="0"/>
    </xf>
    <xf numFmtId="0" fontId="21" fillId="3" borderId="12" applyAlignment="1" pivotButton="0" quotePrefix="0" xfId="0">
      <alignment horizontal="center" vertical="center" wrapText="1"/>
    </xf>
    <xf numFmtId="165" fontId="8" fillId="3" borderId="14" applyAlignment="1" pivotButton="0" quotePrefix="0" xfId="0">
      <alignment horizontal="center" vertical="center"/>
    </xf>
    <xf numFmtId="165" fontId="8" fillId="3" borderId="16" applyAlignment="1" pivotButton="0" quotePrefix="0" xfId="0">
      <alignment horizontal="center" vertical="center"/>
    </xf>
    <xf numFmtId="0" fontId="8" fillId="3" borderId="30" applyAlignment="1" applyProtection="1" pivotButton="0" quotePrefix="0" xfId="0">
      <alignment vertical="center" wrapText="1"/>
      <protection locked="0" hidden="0"/>
    </xf>
    <xf numFmtId="0" fontId="8" fillId="3" borderId="34" applyAlignment="1" applyProtection="1" pivotButton="0" quotePrefix="0" xfId="0">
      <alignment vertical="center" wrapText="1"/>
      <protection locked="0" hidden="0"/>
    </xf>
    <xf numFmtId="0" fontId="13" fillId="3" borderId="13" applyAlignment="1" pivotButton="0" quotePrefix="0" xfId="0">
      <alignment horizontal="centerContinuous" vertical="center" wrapText="1"/>
    </xf>
    <xf numFmtId="165" fontId="8" fillId="3" borderId="23" applyAlignment="1" pivotButton="0" quotePrefix="0" xfId="0">
      <alignment horizontal="center" vertical="center" wrapText="1"/>
    </xf>
    <xf numFmtId="165" fontId="8" fillId="3" borderId="2" applyAlignment="1" pivotButton="0" quotePrefix="0" xfId="0">
      <alignment horizontal="center" vertical="center"/>
    </xf>
    <xf numFmtId="165" fontId="8" fillId="3" borderId="9" applyAlignment="1" pivotButton="0" quotePrefix="0" xfId="0">
      <alignment horizontal="center" vertical="center"/>
    </xf>
    <xf numFmtId="0" fontId="13" fillId="3" borderId="31" applyAlignment="1" pivotButton="0" quotePrefix="0" xfId="0">
      <alignment horizontal="centerContinuous" vertical="center" wrapText="1"/>
    </xf>
    <xf numFmtId="165" fontId="8" fillId="3" borderId="24" applyAlignment="1" pivotButton="0" quotePrefix="0" xfId="0">
      <alignment horizontal="center" vertical="center" wrapText="1"/>
    </xf>
    <xf numFmtId="165" fontId="8" fillId="3" borderId="18" applyAlignment="1" pivotButton="0" quotePrefix="0" xfId="0">
      <alignment horizontal="center" vertical="center"/>
    </xf>
    <xf numFmtId="165" fontId="8" fillId="3" borderId="19" applyAlignment="1" pivotButton="0" quotePrefix="0" xfId="0">
      <alignment horizontal="center" vertical="center"/>
    </xf>
    <xf numFmtId="0" fontId="8" fillId="3" borderId="1" applyAlignment="1" applyProtection="1" pivotButton="0" quotePrefix="0" xfId="0">
      <alignment horizontal="centerContinuous" vertical="center" wrapText="1"/>
      <protection locked="0" hidden="0"/>
    </xf>
    <xf numFmtId="0" fontId="13" fillId="3" borderId="29" applyAlignment="1" pivotButton="0" quotePrefix="0" xfId="0">
      <alignment horizontal="center" vertical="center" wrapText="1"/>
    </xf>
    <xf numFmtId="165" fontId="8" fillId="3" borderId="17" applyAlignment="1" pivotButton="0" quotePrefix="0" xfId="0">
      <alignment horizontal="center" vertical="center" wrapText="1"/>
    </xf>
    <xf numFmtId="165" fontId="8" fillId="3" borderId="17" applyAlignment="1" pivotButton="0" quotePrefix="0" xfId="0">
      <alignment horizontal="center" vertical="center"/>
    </xf>
    <xf numFmtId="0" fontId="8" fillId="3" borderId="33" applyAlignment="1" applyProtection="1" pivotButton="0" quotePrefix="0" xfId="0">
      <alignment vertical="center" wrapText="1"/>
      <protection locked="0" hidden="0"/>
    </xf>
    <xf numFmtId="0" fontId="8" fillId="3" borderId="26" applyAlignment="1" applyProtection="1" pivotButton="0" quotePrefix="0" xfId="0">
      <alignment vertical="center" wrapText="1"/>
      <protection locked="0" hidden="0"/>
    </xf>
    <xf numFmtId="165" fontId="8" fillId="3" borderId="15" applyAlignment="1" pivotButton="0" quotePrefix="0" xfId="0">
      <alignment horizontal="center" vertical="center"/>
    </xf>
    <xf numFmtId="165" fontId="8" fillId="3" borderId="20" applyAlignment="1" pivotButton="0" quotePrefix="0" xfId="0">
      <alignment horizontal="center" vertical="center"/>
    </xf>
    <xf numFmtId="165" fontId="8" fillId="3" borderId="21" applyAlignment="1" pivotButton="0" quotePrefix="0" xfId="0">
      <alignment horizontal="center" vertical="center"/>
    </xf>
    <xf numFmtId="165" fontId="13" fillId="0" borderId="5" applyAlignment="1" pivotButton="0" quotePrefix="0" xfId="0">
      <alignment horizontal="center" vertical="center"/>
    </xf>
    <xf numFmtId="0" fontId="13" fillId="3" borderId="1" applyAlignment="1" pivotButton="0" quotePrefix="0" xfId="0">
      <alignment horizontal="left" vertical="center" wrapText="1"/>
    </xf>
    <xf numFmtId="165" fontId="8" fillId="2" borderId="5" applyAlignment="1" pivotButton="0" quotePrefix="0" xfId="0">
      <alignment horizontal="center" vertical="center" wrapText="1"/>
    </xf>
    <xf numFmtId="10" fontId="8" fillId="2" borderId="5" applyAlignment="1" pivotButton="0" quotePrefix="0" xfId="0">
      <alignment horizontal="center" vertical="center" wrapText="1"/>
    </xf>
    <xf numFmtId="0" fontId="13" fillId="3" borderId="12" applyAlignment="1" pivotButton="0" quotePrefix="0" xfId="0">
      <alignment horizontal="centerContinuous" vertical="center" wrapText="1"/>
    </xf>
    <xf numFmtId="165" fontId="8" fillId="3" borderId="12" applyAlignment="1" pivotButton="0" quotePrefix="0" xfId="1">
      <alignment horizontal="center" vertical="center" wrapText="1"/>
    </xf>
    <xf numFmtId="0" fontId="13" fillId="3" borderId="27" applyAlignment="1" pivotButton="0" quotePrefix="0" xfId="0">
      <alignment horizontal="centerContinuous" vertical="center" wrapText="1"/>
    </xf>
    <xf numFmtId="165" fontId="8" fillId="3" borderId="27" applyAlignment="1" pivotButton="0" quotePrefix="0" xfId="1">
      <alignment horizontal="center" vertical="center" wrapText="1"/>
    </xf>
    <xf numFmtId="165" fontId="13" fillId="3" borderId="5" applyAlignment="1" pivotButton="0" quotePrefix="0" xfId="0">
      <alignment horizontal="center" wrapText="1"/>
    </xf>
    <xf numFmtId="166" fontId="13" fillId="3" borderId="5" applyAlignment="1" pivotButton="0" quotePrefix="0" xfId="0">
      <alignment horizontal="center" vertical="center" wrapText="1"/>
    </xf>
    <xf numFmtId="165" fontId="13" fillId="3" borderId="3" applyAlignment="1" applyProtection="1" pivotButton="0" quotePrefix="0" xfId="0">
      <alignment horizontal="center" vertical="center" wrapText="1"/>
      <protection locked="0" hidden="0"/>
    </xf>
    <xf numFmtId="0" fontId="28" fillId="7" borderId="0" pivotButton="0" quotePrefix="0" xfId="0"/>
    <xf numFmtId="0" fontId="29" fillId="7" borderId="0" pivotButton="0" quotePrefix="0" xfId="0"/>
    <xf numFmtId="0" fontId="28" fillId="7" borderId="0" applyAlignment="1" pivotButton="0" quotePrefix="0" xfId="0">
      <alignment wrapText="1"/>
    </xf>
    <xf numFmtId="0" fontId="19" fillId="3" borderId="1" applyAlignment="1" pivotButton="0" quotePrefix="0" xfId="0">
      <alignment horizontal="center" vertical="center" wrapText="1"/>
    </xf>
    <xf numFmtId="0" fontId="19" fillId="3" borderId="3" applyAlignment="1" pivotButton="0" quotePrefix="0" xfId="0">
      <alignment horizontal="center" vertical="center" wrapText="1"/>
    </xf>
    <xf numFmtId="0" fontId="21" fillId="3" borderId="37" applyAlignment="1" pivotButton="0" quotePrefix="0" xfId="0">
      <alignment horizontal="center" vertical="center" wrapText="1"/>
    </xf>
    <xf numFmtId="165" fontId="13" fillId="3" borderId="38" applyAlignment="1" pivotButton="0" quotePrefix="0" xfId="0">
      <alignment horizontal="center" vertical="center"/>
    </xf>
    <xf numFmtId="0" fontId="22" fillId="2" borderId="8" applyAlignment="1" pivotButton="0" quotePrefix="0" xfId="0">
      <alignment horizontal="center" vertical="center" wrapText="1"/>
    </xf>
    <xf numFmtId="165" fontId="22" fillId="2" borderId="0" applyAlignment="1" pivotButton="0" quotePrefix="0" xfId="0">
      <alignment horizontal="center" vertical="center"/>
    </xf>
    <xf numFmtId="0" fontId="22" fillId="2" borderId="8" applyAlignment="1" pivotButton="0" quotePrefix="0" xfId="0">
      <alignment horizontal="center" vertical="center"/>
    </xf>
    <xf numFmtId="0" fontId="22" fillId="2" borderId="13" applyAlignment="1" pivotButton="0" quotePrefix="0" xfId="0">
      <alignment horizontal="center" vertical="center"/>
    </xf>
    <xf numFmtId="0" fontId="22" fillId="2" borderId="12" applyAlignment="1" pivotButton="0" quotePrefix="0" xfId="0">
      <alignment horizontal="center" vertical="center"/>
    </xf>
    <xf numFmtId="0" fontId="22" fillId="2" borderId="27" applyAlignment="1" pivotButton="0" quotePrefix="0" xfId="0">
      <alignment horizontal="centerContinuous" vertical="center" wrapText="1"/>
    </xf>
    <xf numFmtId="9" fontId="22" fillId="2" borderId="40" applyAlignment="1" pivotButton="0" quotePrefix="0" xfId="2">
      <alignment horizontal="center" vertical="center"/>
    </xf>
    <xf numFmtId="9" fontId="22" fillId="2" borderId="38" applyAlignment="1" pivotButton="0" quotePrefix="0" xfId="2">
      <alignment horizontal="center" vertical="center"/>
    </xf>
    <xf numFmtId="9" fontId="22" fillId="2" borderId="39" applyAlignment="1" pivotButton="0" quotePrefix="0" xfId="2">
      <alignment horizontal="center" vertical="center" wrapText="1"/>
    </xf>
    <xf numFmtId="0" fontId="22" fillId="2" borderId="41" applyAlignment="1" pivotButton="0" quotePrefix="0" xfId="0">
      <alignment horizontal="center" vertical="center" wrapText="1"/>
    </xf>
    <xf numFmtId="0" fontId="22" fillId="2" borderId="10" applyAlignment="1" pivotButton="0" quotePrefix="0" xfId="0">
      <alignment horizontal="center" vertical="center" wrapText="1"/>
    </xf>
    <xf numFmtId="0" fontId="22" fillId="2" borderId="42" applyAlignment="1" pivotButton="0" quotePrefix="0" xfId="0">
      <alignment horizontal="center" vertical="center" wrapText="1"/>
    </xf>
    <xf numFmtId="0" fontId="30" fillId="3" borderId="0" applyAlignment="1" pivotButton="0" quotePrefix="0" xfId="0">
      <alignment horizontal="right" vertical="center" wrapText="1"/>
    </xf>
    <xf numFmtId="0" fontId="30" fillId="3" borderId="0" applyAlignment="1" pivotButton="0" quotePrefix="0" xfId="0">
      <alignment horizontal="right" wrapText="1"/>
    </xf>
    <xf numFmtId="0" fontId="31" fillId="3" borderId="0" applyAlignment="1" pivotButton="0" quotePrefix="0" xfId="0">
      <alignment horizontal="right" vertical="center" wrapText="1"/>
    </xf>
    <xf numFmtId="165" fontId="21" fillId="3" borderId="0" applyAlignment="1" pivotButton="0" quotePrefix="0" xfId="0">
      <alignment vertical="center"/>
    </xf>
    <xf numFmtId="165" fontId="32" fillId="3" borderId="0" applyAlignment="1" pivotButton="0" quotePrefix="0" xfId="0">
      <alignment vertical="center"/>
    </xf>
    <xf numFmtId="2" fontId="31" fillId="3" borderId="0" applyAlignment="1" pivotButton="0" quotePrefix="0" xfId="0">
      <alignment horizontal="right" vertical="center" wrapText="1"/>
    </xf>
    <xf numFmtId="0" fontId="21" fillId="2" borderId="12" applyAlignment="1" pivotButton="0" quotePrefix="0" xfId="0">
      <alignment horizontal="center" vertical="center" wrapText="1"/>
    </xf>
    <xf numFmtId="0" fontId="21" fillId="2" borderId="13" applyAlignment="1" pivotButton="0" quotePrefix="0" xfId="0">
      <alignment horizontal="center" vertical="center" wrapText="1"/>
    </xf>
    <xf numFmtId="0" fontId="21" fillId="2" borderId="27" applyAlignment="1" pivotButton="0" quotePrefix="0" xfId="0">
      <alignment horizontal="center" vertical="center" wrapText="1"/>
    </xf>
    <xf numFmtId="165" fontId="13" fillId="3" borderId="5" applyAlignment="1" pivotButton="0" quotePrefix="0" xfId="0">
      <alignment horizontal="center" vertical="center"/>
    </xf>
    <xf numFmtId="165" fontId="13" fillId="3" borderId="29" applyAlignment="1" pivotButton="0" quotePrefix="0" xfId="0">
      <alignment horizontal="center" vertical="center"/>
    </xf>
    <xf numFmtId="0" fontId="21" fillId="2" borderId="5" applyAlignment="1" pivotButton="0" quotePrefix="0" xfId="0">
      <alignment horizontal="center" vertical="center" wrapText="1"/>
    </xf>
    <xf numFmtId="0" fontId="13" fillId="2" borderId="5" applyAlignment="1" pivotButton="0" quotePrefix="0" xfId="0">
      <alignment horizontal="center" vertical="center" wrapText="1"/>
    </xf>
    <xf numFmtId="0" fontId="13" fillId="2" borderId="30" applyAlignment="1" pivotButton="0" quotePrefix="0" xfId="0">
      <alignment vertical="center" wrapText="1"/>
    </xf>
    <xf numFmtId="0" fontId="21" fillId="2" borderId="29" applyAlignment="1" pivotButton="0" quotePrefix="0" xfId="0">
      <alignment horizontal="center" vertical="center" wrapText="1"/>
    </xf>
    <xf numFmtId="0" fontId="13" fillId="2" borderId="30" applyAlignment="1" pivotButton="0" quotePrefix="0" xfId="0">
      <alignment horizontal="center" vertical="center" wrapText="1"/>
    </xf>
    <xf numFmtId="0" fontId="13" fillId="2" borderId="29" applyAlignment="1" pivotButton="0" quotePrefix="0" xfId="0">
      <alignment horizontal="center" vertical="center" wrapText="1"/>
    </xf>
    <xf numFmtId="0" fontId="21" fillId="2" borderId="35" applyAlignment="1" pivotButton="0" quotePrefix="0" xfId="0">
      <alignment horizontal="center" vertical="center" wrapText="1"/>
    </xf>
    <xf numFmtId="0" fontId="13" fillId="2" borderId="35" applyAlignment="1" pivotButton="0" quotePrefix="0" xfId="0">
      <alignment horizontal="center" vertical="center" wrapText="1"/>
    </xf>
    <xf numFmtId="0" fontId="13" fillId="3" borderId="4" applyAlignment="1" pivotButton="0" quotePrefix="0" xfId="0">
      <alignment horizontal="centerContinuous" vertical="center" wrapText="1"/>
    </xf>
    <xf numFmtId="0" fontId="13" fillId="3" borderId="3" applyAlignment="1" pivotButton="0" quotePrefix="0" xfId="0">
      <alignment horizontal="centerContinuous" vertical="center" wrapText="1"/>
    </xf>
    <xf numFmtId="165" fontId="8" fillId="3" borderId="4" applyAlignment="1" pivotButton="0" quotePrefix="0" xfId="0">
      <alignment horizontal="center" vertical="top" wrapText="1"/>
    </xf>
    <xf numFmtId="0" fontId="16" fillId="3" borderId="6" applyAlignment="1" pivotButton="0" quotePrefix="0" xfId="0">
      <alignment horizontal="center" vertical="center" wrapText="1"/>
    </xf>
    <xf numFmtId="0" fontId="16" fillId="3" borderId="1" applyAlignment="1" pivotButton="0" quotePrefix="0" xfId="0">
      <alignment horizontal="center" vertical="center" wrapText="1"/>
    </xf>
    <xf numFmtId="0" fontId="10" fillId="3" borderId="8" applyAlignment="1" applyProtection="1" pivotButton="0" quotePrefix="0" xfId="0">
      <alignment horizontal="left" wrapText="1"/>
      <protection locked="0" hidden="0"/>
    </xf>
    <xf numFmtId="0" fontId="10" fillId="3" borderId="8" applyAlignment="1" applyProtection="1" pivotButton="0" quotePrefix="0" xfId="0">
      <alignment horizontal="left" vertical="top" wrapText="1"/>
      <protection locked="0" hidden="0"/>
    </xf>
    <xf numFmtId="0" fontId="28" fillId="0" borderId="0" applyAlignment="1" pivotButton="0" quotePrefix="0" xfId="0">
      <alignment wrapText="1"/>
    </xf>
    <xf numFmtId="0" fontId="0" fillId="3" borderId="0" pivotButton="0" quotePrefix="0" xfId="0"/>
    <xf numFmtId="0" fontId="29" fillId="0" borderId="20" applyAlignment="1" pivotButton="0" quotePrefix="0" xfId="0">
      <alignment vertical="center"/>
    </xf>
    <xf numFmtId="167" fontId="29" fillId="0" borderId="20" applyAlignment="1" pivotButton="0" quotePrefix="0" xfId="3">
      <alignment vertical="center"/>
    </xf>
    <xf numFmtId="167" fontId="29" fillId="0" borderId="20" applyAlignment="1" pivotButton="0" quotePrefix="0" xfId="3">
      <alignment horizontal="center" vertical="center"/>
    </xf>
    <xf numFmtId="0" fontId="8" fillId="3" borderId="1" applyAlignment="1" pivotButton="0" quotePrefix="0" xfId="0">
      <alignment horizontal="center" vertical="center" wrapText="1"/>
    </xf>
    <xf numFmtId="0" fontId="8" fillId="3" borderId="5" applyAlignment="1" pivotButton="0" quotePrefix="0" xfId="0">
      <alignment horizontal="center" vertical="center" wrapText="1"/>
    </xf>
    <xf numFmtId="0" fontId="8" fillId="2" borderId="5" applyAlignment="1" pivotButton="0" quotePrefix="0" xfId="0">
      <alignment horizontal="left" vertical="center" wrapText="1"/>
    </xf>
    <xf numFmtId="0" fontId="8" fillId="3" borderId="3" applyAlignment="1" pivotButton="0" quotePrefix="0" xfId="0">
      <alignment horizontal="centerContinuous" vertical="center" wrapText="1"/>
    </xf>
    <xf numFmtId="0" fontId="22" fillId="3" borderId="8" applyAlignment="1" applyProtection="1" pivotButton="0" quotePrefix="0" xfId="0">
      <alignment horizontal="left" vertical="top" wrapText="1"/>
      <protection locked="0" hidden="0"/>
    </xf>
    <xf numFmtId="0" fontId="22" fillId="3" borderId="29" applyAlignment="1" applyProtection="1" pivotButton="0" quotePrefix="0" xfId="0">
      <alignment horizontal="left" vertical="top" wrapText="1"/>
      <protection locked="0" hidden="0"/>
    </xf>
    <xf numFmtId="0" fontId="20" fillId="3" borderId="7" applyAlignment="1" pivotButton="0" quotePrefix="0" xfId="0">
      <alignment horizontal="center" vertical="center" wrapText="1"/>
    </xf>
    <xf numFmtId="0" fontId="20" fillId="3" borderId="30" applyAlignment="1" pivotButton="0" quotePrefix="0" xfId="0">
      <alignment horizontal="center" vertical="center" wrapText="1"/>
    </xf>
    <xf numFmtId="0" fontId="20" fillId="3" borderId="33" applyAlignment="1" pivotButton="0" quotePrefix="0" xfId="0">
      <alignment horizontal="center" vertical="center" wrapText="1"/>
    </xf>
    <xf numFmtId="0" fontId="20" fillId="3" borderId="28" applyAlignment="1" pivotButton="0" quotePrefix="0" xfId="0">
      <alignment horizontal="center" vertical="center" wrapText="1"/>
    </xf>
    <xf numFmtId="0" fontId="20" fillId="3" borderId="8" applyAlignment="1" pivotButton="0" quotePrefix="0" xfId="0">
      <alignment horizontal="center" vertical="center" wrapText="1"/>
    </xf>
    <xf numFmtId="0" fontId="20" fillId="3" borderId="29" applyAlignment="1" pivotButton="0" quotePrefix="0" xfId="0">
      <alignment horizontal="center" vertical="center" wrapText="1"/>
    </xf>
    <xf numFmtId="0" fontId="10" fillId="5" borderId="1" applyAlignment="1" pivotButton="0" quotePrefix="0" xfId="0">
      <alignment horizontal="left" vertical="center" wrapText="1"/>
    </xf>
    <xf numFmtId="0" fontId="10" fillId="5" borderId="4" applyAlignment="1" pivotButton="0" quotePrefix="0" xfId="0">
      <alignment horizontal="left" vertical="center" wrapText="1"/>
    </xf>
    <xf numFmtId="0" fontId="10" fillId="5" borderId="3" applyAlignment="1" pivotButton="0" quotePrefix="0" xfId="0">
      <alignment horizontal="left" vertical="center" wrapText="1"/>
    </xf>
    <xf numFmtId="0" fontId="18" fillId="3" borderId="4" applyAlignment="1" pivotButton="0" quotePrefix="0" xfId="0">
      <alignment horizontal="center" vertical="center" wrapText="1"/>
    </xf>
    <xf numFmtId="0" fontId="18" fillId="3" borderId="3" applyAlignment="1" pivotButton="0" quotePrefix="0" xfId="0">
      <alignment horizontal="center" vertical="center" wrapText="1"/>
    </xf>
    <xf numFmtId="0" fontId="21" fillId="3" borderId="28" applyAlignment="1" pivotButton="0" quotePrefix="0" xfId="0">
      <alignment horizontal="left" wrapText="1"/>
    </xf>
    <xf numFmtId="0" fontId="21" fillId="3" borderId="29" applyAlignment="1" pivotButton="0" quotePrefix="0" xfId="0">
      <alignment horizontal="left" wrapText="1"/>
    </xf>
    <xf numFmtId="0" fontId="8" fillId="5" borderId="1" applyAlignment="1" pivotButton="0" quotePrefix="0" xfId="0">
      <alignment horizontal="center" wrapText="1"/>
    </xf>
    <xf numFmtId="0" fontId="8" fillId="5" borderId="4" applyAlignment="1" pivotButton="0" quotePrefix="0" xfId="0">
      <alignment horizontal="center" wrapText="1"/>
    </xf>
    <xf numFmtId="0" fontId="8" fillId="5" borderId="3" applyAlignment="1" pivotButton="0" quotePrefix="0" xfId="0">
      <alignment horizontal="center" wrapText="1"/>
    </xf>
    <xf numFmtId="0" fontId="8" fillId="5" borderId="1" applyAlignment="1" pivotButton="0" quotePrefix="0" xfId="0">
      <alignment horizontal="center"/>
    </xf>
    <xf numFmtId="0" fontId="8" fillId="5" borderId="4" applyAlignment="1" pivotButton="0" quotePrefix="0" xfId="0">
      <alignment horizontal="center"/>
    </xf>
    <xf numFmtId="0" fontId="8" fillId="5" borderId="3" applyAlignment="1" pivotButton="0" quotePrefix="0" xfId="0">
      <alignment horizontal="center"/>
    </xf>
    <xf numFmtId="0" fontId="17" fillId="3" borderId="1" applyAlignment="1" applyProtection="1" pivotButton="0" quotePrefix="0" xfId="0">
      <alignment horizontal="center" vertical="center" wrapText="1"/>
      <protection locked="0" hidden="0"/>
    </xf>
    <xf numFmtId="0" fontId="17" fillId="3" borderId="3" applyAlignment="1" applyProtection="1" pivotButton="0" quotePrefix="0" xfId="0">
      <alignment horizontal="center" vertical="center" wrapText="1"/>
      <protection locked="0" hidden="0"/>
    </xf>
    <xf numFmtId="0" fontId="17" fillId="0" borderId="1" applyAlignment="1" applyProtection="1" pivotButton="0" quotePrefix="0" xfId="0">
      <alignment horizontal="center" vertical="center" wrapText="1"/>
      <protection locked="0" hidden="0"/>
    </xf>
    <xf numFmtId="0" fontId="17" fillId="0" borderId="3" applyAlignment="1" applyProtection="1" pivotButton="0" quotePrefix="0" xfId="0">
      <alignment horizontal="center" vertical="center" wrapText="1"/>
      <protection locked="0" hidden="0"/>
    </xf>
    <xf numFmtId="0" fontId="17" fillId="0" borderId="1" applyAlignment="1" pivotButton="0" quotePrefix="0" xfId="0">
      <alignment horizontal="center" vertical="center" wrapText="1"/>
    </xf>
    <xf numFmtId="0" fontId="17" fillId="0" borderId="3" applyAlignment="1" pivotButton="0" quotePrefix="0" xfId="0">
      <alignment horizontal="center" vertical="center" wrapText="1"/>
    </xf>
    <xf numFmtId="0" fontId="10" fillId="5" borderId="1" applyAlignment="1" pivotButton="0" quotePrefix="0" xfId="0">
      <alignment horizontal="center" vertical="top" wrapText="1"/>
    </xf>
    <xf numFmtId="0" fontId="10" fillId="5" borderId="4" applyAlignment="1" pivotButton="0" quotePrefix="0" xfId="0">
      <alignment horizontal="center" vertical="top" wrapText="1"/>
    </xf>
    <xf numFmtId="0" fontId="11" fillId="6" borderId="1" applyAlignment="1" pivotButton="0" quotePrefix="0" xfId="0">
      <alignment horizontal="center" vertical="top" wrapText="1"/>
    </xf>
    <xf numFmtId="0" fontId="11" fillId="6" borderId="3" applyAlignment="1" pivotButton="0" quotePrefix="0" xfId="0">
      <alignment horizontal="center" vertical="top" wrapText="1"/>
    </xf>
    <xf numFmtId="0" fontId="8" fillId="2" borderId="1" applyAlignment="1" pivotButton="0" quotePrefix="0" xfId="0">
      <alignment horizontal="center" wrapText="1"/>
    </xf>
    <xf numFmtId="0" fontId="8" fillId="2" borderId="4" applyAlignment="1" pivotButton="0" quotePrefix="0" xfId="0">
      <alignment horizontal="center" wrapText="1"/>
    </xf>
    <xf numFmtId="0" fontId="8" fillId="2" borderId="3" applyAlignment="1" pivotButton="0" quotePrefix="0" xfId="0">
      <alignment horizontal="center" wrapText="1"/>
    </xf>
    <xf numFmtId="0" fontId="8" fillId="3" borderId="28" applyAlignment="1" pivotButton="0" quotePrefix="0" xfId="0">
      <alignment horizontal="center" vertical="center" wrapText="1"/>
    </xf>
    <xf numFmtId="0" fontId="8" fillId="3" borderId="29" applyAlignment="1" pivotButton="0" quotePrefix="0" xfId="0">
      <alignment horizontal="center" vertical="center" wrapText="1"/>
    </xf>
    <xf numFmtId="0" fontId="22" fillId="2" borderId="1" applyAlignment="1" pivotButton="0" quotePrefix="0" xfId="0">
      <alignment horizontal="left" vertical="center" wrapText="1"/>
    </xf>
    <xf numFmtId="0" fontId="22" fillId="2" borderId="4" applyAlignment="1" pivotButton="0" quotePrefix="0" xfId="0">
      <alignment horizontal="left" vertical="center" wrapText="1"/>
    </xf>
    <xf numFmtId="0" fontId="22" fillId="2" borderId="3" applyAlignment="1" pivotButton="0" quotePrefix="0" xfId="0">
      <alignment horizontal="left" vertical="center" wrapText="1"/>
    </xf>
    <xf numFmtId="0" fontId="15" fillId="2" borderId="1" applyAlignment="1" pivotButton="0" quotePrefix="0" xfId="0">
      <alignment horizontal="left" wrapText="1"/>
    </xf>
    <xf numFmtId="0" fontId="8" fillId="2" borderId="4" applyAlignment="1" pivotButton="0" quotePrefix="0" xfId="0">
      <alignment horizontal="left" wrapText="1"/>
    </xf>
    <xf numFmtId="0" fontId="8" fillId="2" borderId="3" applyAlignment="1" pivotButton="0" quotePrefix="0" xfId="0">
      <alignment horizontal="left" wrapText="1"/>
    </xf>
    <xf numFmtId="0" fontId="8" fillId="3" borderId="7" applyAlignment="1" applyProtection="1" pivotButton="0" quotePrefix="0" xfId="0">
      <alignment horizontal="center" vertical="center" wrapText="1"/>
      <protection locked="0" hidden="0"/>
    </xf>
    <xf numFmtId="0" fontId="8" fillId="3" borderId="6" applyAlignment="1" applyProtection="1" pivotButton="0" quotePrefix="0" xfId="0">
      <alignment horizontal="center" vertical="center" wrapText="1"/>
      <protection locked="0" hidden="0"/>
    </xf>
    <xf numFmtId="0" fontId="8" fillId="3" borderId="30" applyAlignment="1" applyProtection="1" pivotButton="0" quotePrefix="0" xfId="0">
      <alignment horizontal="center" vertical="center" wrapText="1"/>
      <protection locked="0" hidden="0"/>
    </xf>
    <xf numFmtId="0" fontId="8" fillId="3" borderId="0" applyAlignment="1" applyProtection="1" pivotButton="0" quotePrefix="0" xfId="0">
      <alignment horizontal="center" vertical="center" wrapText="1"/>
      <protection locked="0" hidden="0"/>
    </xf>
    <xf numFmtId="0" fontId="8" fillId="3" borderId="33" applyAlignment="1" applyProtection="1" pivotButton="0" quotePrefix="0" xfId="0">
      <alignment horizontal="center" vertical="center" wrapText="1"/>
      <protection locked="0" hidden="0"/>
    </xf>
    <xf numFmtId="0" fontId="8" fillId="3" borderId="25" applyAlignment="1" applyProtection="1" pivotButton="0" quotePrefix="0" xfId="0">
      <alignment horizontal="center" vertical="center" wrapText="1"/>
      <protection locked="0" hidden="0"/>
    </xf>
    <xf numFmtId="0" fontId="19" fillId="3" borderId="1" applyAlignment="1" applyProtection="1" pivotButton="0" quotePrefix="0" xfId="0">
      <alignment horizontal="center" vertical="center" wrapText="1"/>
      <protection locked="0" hidden="0"/>
    </xf>
    <xf numFmtId="0" fontId="19" fillId="3" borderId="4" applyAlignment="1" applyProtection="1" pivotButton="0" quotePrefix="0" xfId="0">
      <alignment horizontal="center" vertical="center" wrapText="1"/>
      <protection locked="0" hidden="0"/>
    </xf>
    <xf numFmtId="0" fontId="8" fillId="3" borderId="4" applyAlignment="1" pivotButton="0" quotePrefix="0" xfId="0">
      <alignment horizontal="left" vertical="center" wrapText="1"/>
    </xf>
    <xf numFmtId="0" fontId="8" fillId="3" borderId="3" applyAlignment="1" pivotButton="0" quotePrefix="0" xfId="0">
      <alignment horizontal="left" vertical="center" wrapText="1"/>
    </xf>
    <xf numFmtId="0" fontId="27" fillId="3" borderId="1" applyAlignment="1" pivotButton="0" quotePrefix="0" xfId="0">
      <alignment horizontal="right" vertical="center" wrapText="1"/>
    </xf>
    <xf numFmtId="0" fontId="27" fillId="3" borderId="4" applyAlignment="1" pivotButton="0" quotePrefix="0" xfId="0">
      <alignment horizontal="right" vertical="center" wrapText="1"/>
    </xf>
    <xf numFmtId="0" fontId="19" fillId="3" borderId="1" applyAlignment="1" pivotButton="0" quotePrefix="0" xfId="0">
      <alignment horizontal="right" vertical="center" wrapText="1"/>
    </xf>
    <xf numFmtId="0" fontId="19" fillId="3" borderId="4" applyAlignment="1" pivotButton="0" quotePrefix="0" xfId="0">
      <alignment horizontal="right" vertical="center" wrapText="1"/>
    </xf>
    <xf numFmtId="0" fontId="19" fillId="3" borderId="3" applyAlignment="1" pivotButton="0" quotePrefix="0" xfId="0">
      <alignment horizontal="right" vertical="center" wrapText="1"/>
    </xf>
    <xf numFmtId="0" fontId="13" fillId="3" borderId="4" applyAlignment="1" pivotButton="0" quotePrefix="0" xfId="0">
      <alignment horizontal="left" vertical="center" wrapText="1"/>
    </xf>
    <xf numFmtId="0" fontId="13" fillId="3" borderId="3" applyAlignment="1" pivotButton="0" quotePrefix="0" xfId="0">
      <alignment horizontal="left" vertical="center" wrapText="1"/>
    </xf>
    <xf numFmtId="0" fontId="8" fillId="3" borderId="1" applyAlignment="1" pivotButton="0" quotePrefix="0" xfId="0">
      <alignment horizontal="left" vertical="center" wrapText="1"/>
    </xf>
    <xf numFmtId="0" fontId="10" fillId="5" borderId="36" applyAlignment="1" applyProtection="1" pivotButton="0" quotePrefix="0" xfId="0">
      <alignment horizontal="left" vertical="center" wrapText="1"/>
      <protection locked="0" hidden="0"/>
    </xf>
    <xf numFmtId="0" fontId="10" fillId="5" borderId="25" applyAlignment="1" applyProtection="1" pivotButton="0" quotePrefix="0" xfId="0">
      <alignment horizontal="left" vertical="center" wrapText="1"/>
      <protection locked="0" hidden="0"/>
    </xf>
    <xf numFmtId="0" fontId="10" fillId="5" borderId="26" applyAlignment="1" applyProtection="1" pivotButton="0" quotePrefix="0" xfId="0">
      <alignment horizontal="left" vertical="center" wrapText="1"/>
      <protection locked="0" hidden="0"/>
    </xf>
    <xf numFmtId="0" fontId="8" fillId="3" borderId="32" applyAlignment="1" applyProtection="1" pivotButton="0" quotePrefix="0" xfId="0">
      <alignment horizontal="center" vertical="center" wrapText="1"/>
      <protection locked="0" hidden="0"/>
    </xf>
    <xf numFmtId="0" fontId="8" fillId="3" borderId="26" applyAlignment="1" applyProtection="1" pivotButton="0" quotePrefix="0" xfId="0">
      <alignment horizontal="center" vertical="center" wrapText="1"/>
      <protection locked="0" hidden="0"/>
    </xf>
    <xf numFmtId="0" fontId="8" fillId="3" borderId="8" applyAlignment="1" applyProtection="1" pivotButton="0" quotePrefix="0" xfId="0">
      <alignment horizontal="left" vertical="top" wrapText="1"/>
      <protection locked="0" hidden="0"/>
    </xf>
    <xf numFmtId="0" fontId="8" fillId="3" borderId="29" applyAlignment="1" applyProtection="1" pivotButton="0" quotePrefix="0" xfId="0">
      <alignment horizontal="left" vertical="top" wrapText="1"/>
      <protection locked="0" hidden="0"/>
    </xf>
    <xf numFmtId="0" fontId="8" fillId="5" borderId="5" applyAlignment="1" pivotButton="0" quotePrefix="0" xfId="0">
      <alignment horizontal="center"/>
    </xf>
    <xf numFmtId="0" fontId="0" fillId="0" borderId="4" pivotButton="0" quotePrefix="0" xfId="0"/>
    <xf numFmtId="0" fontId="0" fillId="0" borderId="3" pivotButton="0" quotePrefix="0" xfId="0"/>
    <xf numFmtId="0" fontId="8" fillId="5" borderId="5" applyAlignment="1" pivotButton="0" quotePrefix="0" xfId="0">
      <alignment horizontal="center" wrapText="1"/>
    </xf>
    <xf numFmtId="0" fontId="8" fillId="2" borderId="5" applyAlignment="1" pivotButton="0" quotePrefix="0" xfId="0">
      <alignment horizontal="center" wrapText="1"/>
    </xf>
    <xf numFmtId="0" fontId="11" fillId="6" borderId="5" applyAlignment="1" pivotButton="0" quotePrefix="0" xfId="0">
      <alignment horizontal="center" vertical="top" wrapText="1"/>
    </xf>
    <xf numFmtId="0" fontId="0" fillId="0" borderId="29" pivotButton="0" quotePrefix="0" xfId="0"/>
    <xf numFmtId="0" fontId="10" fillId="5" borderId="5" applyAlignment="1" pivotButton="0" quotePrefix="0" xfId="0">
      <alignment horizontal="left" vertical="center" wrapText="1"/>
    </xf>
    <xf numFmtId="0" fontId="10" fillId="5" borderId="43" applyAlignment="1" applyProtection="1" pivotButton="0" quotePrefix="0" xfId="0">
      <alignment horizontal="left" vertical="center" wrapText="1"/>
      <protection locked="0" hidden="0"/>
    </xf>
    <xf numFmtId="0" fontId="0" fillId="0" borderId="25" applyProtection="1" pivotButton="0" quotePrefix="0" xfId="0">
      <protection locked="0" hidden="0"/>
    </xf>
    <xf numFmtId="0" fontId="0" fillId="0" borderId="26" applyProtection="1" pivotButton="0" quotePrefix="0" xfId="0">
      <protection locked="0" hidden="0"/>
    </xf>
    <xf numFmtId="0" fontId="17" fillId="3" borderId="5" applyAlignment="1" applyProtection="1" pivotButton="0" quotePrefix="0" xfId="0">
      <alignment horizontal="center" vertical="center" wrapText="1"/>
      <protection locked="0" hidden="0"/>
    </xf>
    <xf numFmtId="0" fontId="0" fillId="0" borderId="3" applyProtection="1" pivotButton="0" quotePrefix="0" xfId="0">
      <protection locked="0" hidden="0"/>
    </xf>
    <xf numFmtId="0" fontId="17" fillId="0" borderId="5" applyAlignment="1" applyProtection="1" pivotButton="0" quotePrefix="0" xfId="0">
      <alignment horizontal="center" vertical="center" wrapText="1"/>
      <protection locked="0" hidden="0"/>
    </xf>
    <xf numFmtId="0" fontId="17" fillId="0" borderId="5" applyAlignment="1" pivotButton="0" quotePrefix="0" xfId="0">
      <alignment horizontal="center" vertical="center" wrapText="1"/>
    </xf>
    <xf numFmtId="0" fontId="21" fillId="3" borderId="5" applyAlignment="1" pivotButton="0" quotePrefix="0" xfId="0">
      <alignment horizontal="left" wrapText="1"/>
    </xf>
    <xf numFmtId="0" fontId="20" fillId="3" borderId="1" applyAlignment="1" pivotButton="0" quotePrefix="0" xfId="0">
      <alignment horizontal="center" vertical="center" wrapText="1"/>
    </xf>
    <xf numFmtId="0" fontId="0" fillId="0" borderId="30" pivotButton="0" quotePrefix="0" xfId="0"/>
    <xf numFmtId="0" fontId="0" fillId="0" borderId="33" pivotButton="0" quotePrefix="0" xfId="0"/>
    <xf numFmtId="0" fontId="0" fillId="0" borderId="8" applyProtection="1" pivotButton="0" quotePrefix="0" xfId="0">
      <protection locked="0" hidden="0"/>
    </xf>
    <xf numFmtId="0" fontId="0" fillId="0" borderId="8" pivotButton="0" quotePrefix="0" xfId="0"/>
    <xf numFmtId="0" fontId="0" fillId="0" borderId="29" applyProtection="1" pivotButton="0" quotePrefix="0" xfId="0">
      <protection locked="0" hidden="0"/>
    </xf>
    <xf numFmtId="0" fontId="19" fillId="3" borderId="5" applyAlignment="1" pivotButton="0" quotePrefix="0" xfId="0">
      <alignment horizontal="right" vertical="center" wrapText="1"/>
    </xf>
    <xf numFmtId="0" fontId="8" fillId="3" borderId="1" applyAlignment="1" applyProtection="1" pivotButton="0" quotePrefix="0" xfId="0">
      <alignment horizontal="center" vertical="center" wrapText="1"/>
      <protection locked="0" hidden="0"/>
    </xf>
    <xf numFmtId="0" fontId="0" fillId="0" borderId="6" applyProtection="1" pivotButton="0" quotePrefix="0" xfId="0">
      <protection locked="0" hidden="0"/>
    </xf>
    <xf numFmtId="0" fontId="0" fillId="0" borderId="30" applyProtection="1" pivotButton="0" quotePrefix="0" xfId="0">
      <protection locked="0" hidden="0"/>
    </xf>
    <xf numFmtId="0" fontId="0" fillId="0" borderId="0" applyProtection="1" pivotButton="0" quotePrefix="0" xfId="0">
      <protection locked="0" hidden="0"/>
    </xf>
    <xf numFmtId="0" fontId="0" fillId="0" borderId="33" applyProtection="1" pivotButton="0" quotePrefix="0" xfId="0">
      <protection locked="0" hidden="0"/>
    </xf>
    <xf numFmtId="0" fontId="0" fillId="0" borderId="4" applyProtection="1" pivotButton="0" quotePrefix="0" xfId="0">
      <protection locked="0" hidden="0"/>
    </xf>
    <xf numFmtId="0" fontId="15" fillId="2" borderId="5" applyAlignment="1" pivotButton="0" quotePrefix="0" xfId="0">
      <alignment horizontal="left" wrapText="1"/>
    </xf>
    <xf numFmtId="0" fontId="0" fillId="0" borderId="32" applyProtection="1" pivotButton="0" quotePrefix="0" xfId="0">
      <protection locked="0" hidden="0"/>
    </xf>
    <xf numFmtId="0" fontId="8" fillId="3" borderId="5" applyAlignment="1" pivotButton="0" quotePrefix="0" xfId="0">
      <alignment horizontal="left" vertical="center" wrapText="1"/>
    </xf>
    <xf numFmtId="166" fontId="13" fillId="3" borderId="5" applyAlignment="1" pivotButton="0" quotePrefix="0" xfId="0">
      <alignment horizontal="center" vertical="center" wrapText="1"/>
    </xf>
    <xf numFmtId="0" fontId="22" fillId="2" borderId="5" applyAlignment="1" pivotButton="0" quotePrefix="0" xfId="0">
      <alignment horizontal="left" vertical="center" wrapText="1"/>
    </xf>
    <xf numFmtId="164" fontId="0" fillId="0" borderId="0" applyAlignment="1" pivotButton="0" quotePrefix="1" xfId="0">
      <alignment horizontal="right"/>
    </xf>
    <xf numFmtId="164" fontId="0" fillId="0" borderId="0" applyAlignment="1" pivotButton="0" quotePrefix="0" xfId="0">
      <alignment horizontal="right"/>
    </xf>
    <xf numFmtId="167" fontId="29" fillId="0" borderId="20" applyAlignment="1" pivotButton="0" quotePrefix="0" xfId="3">
      <alignment vertical="center"/>
    </xf>
    <xf numFmtId="167" fontId="29" fillId="0" borderId="20" applyAlignment="1" pivotButton="0" quotePrefix="0" xfId="3">
      <alignment horizontal="center" vertical="center"/>
    </xf>
    <xf numFmtId="0" fontId="34" fillId="0" borderId="0" pivotButton="0" quotePrefix="0" xfId="0"/>
    <xf numFmtId="0" fontId="35" fillId="8" borderId="44" applyAlignment="1" pivotButton="0" quotePrefix="0" xfId="0">
      <alignment horizontal="center" vertical="center" wrapText="1"/>
    </xf>
    <xf numFmtId="0" fontId="0" fillId="0" borderId="44" applyAlignment="1" pivotButton="0" quotePrefix="0" xfId="0">
      <alignment vertical="top" wrapText="1"/>
    </xf>
    <xf numFmtId="0" fontId="36" fillId="0" borderId="0" applyAlignment="1" pivotButton="0" quotePrefix="0" xfId="0">
      <alignment wrapText="1"/>
    </xf>
  </cellXfs>
  <cellStyles count="4">
    <cellStyle name="Standard" xfId="0" builtinId="0"/>
    <cellStyle name="Währung" xfId="1" builtinId="4"/>
    <cellStyle name="Prozent" xfId="2" builtinId="5"/>
    <cellStyle name="Komma" xfId="3" builtinId="3"/>
  </cellStyles>
  <dxfs count="52">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ont>
        <color auto="1"/>
      </font>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theme="0" tint="-0.249946592608417"/>
        </patternFill>
      </fill>
    </dxf>
    <dxf>
      <fill>
        <patternFill>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60-EC42-11CE-9E0D-00AA006002F3}"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978C9E23-D4B0-11CE-BF2D-00AA003F40D0}" ax:persistence="persistStreamInit" r:id="rId1"/>
</file>

<file path=xl/activeX/activeX37.xml><?xml version="1.0" encoding="utf-8"?>
<ax:ocx xmlns:ax="http://schemas.microsoft.com/office/2006/activeX" xmlns:r="http://schemas.openxmlformats.org/officeDocument/2006/relationships" ax:classid="{978C9E23-D4B0-11CE-BF2D-00AA003F40D0}" ax:persistence="persistStreamInit" r:id="rId1"/>
</file>

<file path=xl/activeX/activeX38.xml><?xml version="1.0" encoding="utf-8"?>
<ax:ocx xmlns:ax="http://schemas.microsoft.com/office/2006/activeX" xmlns:r="http://schemas.openxmlformats.org/officeDocument/2006/relationships" ax:classid="{978C9E23-D4B0-11CE-BF2D-00AA003F40D0}" ax:persistence="persistStreamInit" r:id="rId1"/>
</file>

<file path=xl/activeX/activeX39.xml><?xml version="1.0" encoding="utf-8"?>
<ax:ocx xmlns:ax="http://schemas.microsoft.com/office/2006/activeX" xmlns:r="http://schemas.openxmlformats.org/officeDocument/2006/relationships" ax:classid="{978C9E23-D4B0-11CE-BF2D-00AA003F40D0}" ax:persistence="persistStreamInit" r:id="rId1"/>
</file>

<file path=xl/activeX/activeX40.xml><?xml version="1.0" encoding="utf-8"?>
<ax:ocx xmlns:ax="http://schemas.microsoft.com/office/2006/activeX" xmlns:r="http://schemas.openxmlformats.org/officeDocument/2006/relationships" ax:classid="{978C9E23-D4B0-11CE-BF2D-00AA003F40D0}" ax:persistence="persistStreamInit" r:id="rId1"/>
</file>

<file path=xl/activeX/activeX41.xml><?xml version="1.0" encoding="utf-8"?>
<ax:ocx xmlns:ax="http://schemas.microsoft.com/office/2006/activeX" xmlns:r="http://schemas.openxmlformats.org/officeDocument/2006/relationships" ax:classid="{978C9E23-D4B0-11CE-BF2D-00AA003F40D0}" ax:persistence="persistStreamInit" r:id="rId1"/>
</file>

<file path=xl/activeX/activeX42.xml><?xml version="1.0" encoding="utf-8"?>
<ax:ocx xmlns:ax="http://schemas.microsoft.com/office/2006/activeX" xmlns:r="http://schemas.openxmlformats.org/officeDocument/2006/relationships" ax:classid="{978C9E23-D4B0-11CE-BF2D-00AA003F40D0}"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978C9E23-D4B0-11CE-BF2D-00AA003F40D0}" ax:persistence="persistStreamInit" r:id="rId1"/>
</file>

<file path=xl/activeX/activeX46.xml><?xml version="1.0" encoding="utf-8"?>
<ax:ocx xmlns:ax="http://schemas.microsoft.com/office/2006/activeX" xmlns:r="http://schemas.openxmlformats.org/officeDocument/2006/relationships" ax:classid="{8BD21D1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978C9E23-D4B0-11CE-BF2D-00AA003F40D0}"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978C9E23-D4B0-11CE-BF2D-00AA003F40D0}" ax:persistence="persistStreamInit" r:id="rId1"/>
</file>

<file path=xl/activeX/activeX55.xml><?xml version="1.0" encoding="utf-8"?>
<ax:ocx xmlns:ax="http://schemas.microsoft.com/office/2006/activeX" xmlns:r="http://schemas.openxmlformats.org/officeDocument/2006/relationships" ax:classid="{978C9E23-D4B0-11CE-BF2D-00AA003F40D0}"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10-EC42-11CE-9E0D-00AA006002F3}" ax:persistence="persistStreamInit" r:id="rId1"/>
</file>

<file path=xl/activeX/activeX58.xml><?xml version="1.0" encoding="utf-8"?>
<ax:ocx xmlns:ax="http://schemas.microsoft.com/office/2006/activeX" xmlns:r="http://schemas.openxmlformats.org/officeDocument/2006/relationships" ax:classid="{8BD21D10-EC42-11CE-9E0D-00AA006002F3}" ax:persistence="persistStreamInit" r:id="rId1"/>
</file>

<file path=xl/activeX/activeX59.xml><?xml version="1.0" encoding="utf-8"?>
<ax:ocx xmlns:ax="http://schemas.microsoft.com/office/2006/activeX" xmlns:r="http://schemas.openxmlformats.org/officeDocument/2006/relationships" ax:classid="{8BD21D10-EC42-11CE-9E0D-00AA006002F3}" ax:persistence="persistStreamInit" r:id="rId1"/>
</file>

<file path=xl/activeX/activeX60.xml><?xml version="1.0" encoding="utf-8"?>
<ax:ocx xmlns:ax="http://schemas.microsoft.com/office/2006/activeX" xmlns:r="http://schemas.openxmlformats.org/officeDocument/2006/relationships" ax:classid="{978C9E23-D4B0-11CE-BF2D-00AA003F40D0}" ax:persistence="persistStreamInit" r:id="rId1"/>
</file>

<file path=xl/activeX/activeX61.xml><?xml version="1.0" encoding="utf-8"?>
<ax:ocx xmlns:ax="http://schemas.microsoft.com/office/2006/activeX" xmlns:r="http://schemas.openxmlformats.org/officeDocument/2006/relationships" ax:classid="{978C9E23-D4B0-11CE-BF2D-00AA003F40D0}"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38.emf"/><Relationship Id="rId13" Type="http://schemas.openxmlformats.org/officeDocument/2006/relationships/image" Target="../media/image33.emf"/><Relationship Id="rId18" Type="http://schemas.openxmlformats.org/officeDocument/2006/relationships/image" Target="../media/image28.emf"/><Relationship Id="rId26" Type="http://schemas.openxmlformats.org/officeDocument/2006/relationships/image" Target="../media/image20.emf"/><Relationship Id="rId39" Type="http://schemas.openxmlformats.org/officeDocument/2006/relationships/image" Target="../media/image7.emf"/><Relationship Id="rId3" Type="http://schemas.openxmlformats.org/officeDocument/2006/relationships/image" Target="../media/image44.emf"/><Relationship Id="rId21" Type="http://schemas.openxmlformats.org/officeDocument/2006/relationships/image" Target="../media/image25.emf"/><Relationship Id="rId34" Type="http://schemas.openxmlformats.org/officeDocument/2006/relationships/image" Target="../media/image12.emf"/><Relationship Id="rId42" Type="http://schemas.openxmlformats.org/officeDocument/2006/relationships/image" Target="../media/image4.emf"/><Relationship Id="rId7" Type="http://schemas.openxmlformats.org/officeDocument/2006/relationships/image" Target="../media/image39.emf"/><Relationship Id="rId12" Type="http://schemas.openxmlformats.org/officeDocument/2006/relationships/image" Target="../media/image34.emf"/><Relationship Id="rId17" Type="http://schemas.openxmlformats.org/officeDocument/2006/relationships/image" Target="../media/image29.emf"/><Relationship Id="rId25" Type="http://schemas.openxmlformats.org/officeDocument/2006/relationships/image" Target="../media/image21.emf"/><Relationship Id="rId33" Type="http://schemas.openxmlformats.org/officeDocument/2006/relationships/image" Target="../media/image13.emf"/><Relationship Id="rId38" Type="http://schemas.openxmlformats.org/officeDocument/2006/relationships/image" Target="../media/image8.emf"/><Relationship Id="rId2" Type="http://schemas.openxmlformats.org/officeDocument/2006/relationships/image" Target="../media/image43.emf"/><Relationship Id="rId16" Type="http://schemas.openxmlformats.org/officeDocument/2006/relationships/image" Target="../media/image30.emf"/><Relationship Id="rId20" Type="http://schemas.openxmlformats.org/officeDocument/2006/relationships/image" Target="../media/image26.emf"/><Relationship Id="rId29" Type="http://schemas.openxmlformats.org/officeDocument/2006/relationships/image" Target="../media/image17.emf"/><Relationship Id="rId41" Type="http://schemas.openxmlformats.org/officeDocument/2006/relationships/image" Target="../media/image5.emf"/><Relationship Id="rId1" Type="http://schemas.openxmlformats.org/officeDocument/2006/relationships/image" Target="../media/image45.emf"/><Relationship Id="rId6" Type="http://schemas.openxmlformats.org/officeDocument/2006/relationships/image" Target="../media/image40.emf"/><Relationship Id="rId11" Type="http://schemas.openxmlformats.org/officeDocument/2006/relationships/image" Target="../media/image35.emf"/><Relationship Id="rId24" Type="http://schemas.openxmlformats.org/officeDocument/2006/relationships/image" Target="../media/image23.emf"/><Relationship Id="rId32" Type="http://schemas.openxmlformats.org/officeDocument/2006/relationships/image" Target="../media/image14.emf"/><Relationship Id="rId37" Type="http://schemas.openxmlformats.org/officeDocument/2006/relationships/image" Target="../media/image9.emf"/><Relationship Id="rId40" Type="http://schemas.openxmlformats.org/officeDocument/2006/relationships/image" Target="../media/image6.emf"/><Relationship Id="rId45" Type="http://schemas.openxmlformats.org/officeDocument/2006/relationships/image" Target="../media/image1.emf"/><Relationship Id="rId5" Type="http://schemas.openxmlformats.org/officeDocument/2006/relationships/image" Target="../media/image41.emf"/><Relationship Id="rId15" Type="http://schemas.openxmlformats.org/officeDocument/2006/relationships/image" Target="../media/image31.emf"/><Relationship Id="rId23" Type="http://schemas.openxmlformats.org/officeDocument/2006/relationships/image" Target="../media/image24.emf"/><Relationship Id="rId28" Type="http://schemas.openxmlformats.org/officeDocument/2006/relationships/image" Target="../media/image18.emf"/><Relationship Id="rId36" Type="http://schemas.openxmlformats.org/officeDocument/2006/relationships/image" Target="../media/image10.emf"/><Relationship Id="rId10" Type="http://schemas.openxmlformats.org/officeDocument/2006/relationships/image" Target="../media/image36.emf"/><Relationship Id="rId19" Type="http://schemas.openxmlformats.org/officeDocument/2006/relationships/image" Target="../media/image27.emf"/><Relationship Id="rId31" Type="http://schemas.openxmlformats.org/officeDocument/2006/relationships/image" Target="../media/image15.emf"/><Relationship Id="rId44" Type="http://schemas.openxmlformats.org/officeDocument/2006/relationships/image" Target="../media/image2.emf"/><Relationship Id="rId4" Type="http://schemas.openxmlformats.org/officeDocument/2006/relationships/image" Target="../media/image42.emf"/><Relationship Id="rId9" Type="http://schemas.openxmlformats.org/officeDocument/2006/relationships/image" Target="../media/image37.emf"/><Relationship Id="rId14" Type="http://schemas.openxmlformats.org/officeDocument/2006/relationships/image" Target="../media/image32.emf"/><Relationship Id="rId22" Type="http://schemas.openxmlformats.org/officeDocument/2006/relationships/image" Target="../media/image22.emf"/><Relationship Id="rId27" Type="http://schemas.openxmlformats.org/officeDocument/2006/relationships/image" Target="../media/image19.emf"/><Relationship Id="rId30" Type="http://schemas.openxmlformats.org/officeDocument/2006/relationships/image" Target="../media/image16.emf"/><Relationship Id="rId35" Type="http://schemas.openxmlformats.org/officeDocument/2006/relationships/image" Target="../media/image11.emf"/><Relationship Id="rId43" Type="http://schemas.openxmlformats.org/officeDocument/2006/relationships/image" Target="../media/image3.emf"/></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Tabelle1">
    <outlinePr summaryBelow="1" summaryRight="1"/>
    <pageSetUpPr/>
  </sheetPr>
  <dimension ref="A1:S169"/>
  <sheetViews>
    <sheetView tabSelected="1" showWhiteSpace="0" topLeftCell="A11" zoomScale="110" zoomScaleNormal="110" zoomScalePageLayoutView="140" workbookViewId="0">
      <selection activeCell="A4" sqref="A4:E4"/>
    </sheetView>
  </sheetViews>
  <sheetFormatPr baseColWidth="10" defaultColWidth="0" defaultRowHeight="15" zeroHeight="1" outlineLevelRow="1"/>
  <cols>
    <col width="13.7109375" customWidth="1" style="12" min="1" max="7"/>
    <col width="1.7109375" customWidth="1" style="13" min="8" max="8"/>
    <col hidden="1" width="45.7109375" customWidth="1" style="13" min="9" max="9"/>
    <col hidden="1" width="11.42578125" customWidth="1" style="12" min="10" max="10"/>
    <col hidden="1" width="11" customWidth="1" style="12" min="11" max="11"/>
    <col hidden="1" width="11.42578125" customWidth="1" style="12" min="12" max="15"/>
    <col hidden="1" width="14" customWidth="1" style="12" min="16" max="16"/>
    <col hidden="1" width="16.42578125" customWidth="1" style="12" min="17" max="17"/>
    <col hidden="1" width="11.42578125" customWidth="1" style="12" min="18" max="16384"/>
  </cols>
  <sheetData>
    <row r="1" ht="18" customHeight="1" s="12" thickBot="1">
      <c r="A1" s="235" t="inlineStr">
        <is>
          <t>Zum Öffnen der allgemeinen Hinweise bitte links am Rand auf das "+" Symbol klicken</t>
        </is>
      </c>
      <c r="B1" s="236" t="n"/>
      <c r="C1" s="236" t="n"/>
      <c r="D1" s="236" t="n"/>
      <c r="E1" s="236" t="n"/>
      <c r="F1" s="236" t="n"/>
      <c r="G1" s="237" t="n"/>
      <c r="H1" s="16">
        <f>IF(AND(D90="",E90="",F90="",G90=""),"",IF(MIN(D112:G112)&lt;0,MAX(D112:G112),""))</f>
        <v/>
      </c>
      <c r="I1" s="16" t="n"/>
      <c r="S1">
        <f t="array" ref="S1:S122">""</f>
        <v/>
      </c>
    </row>
    <row r="2" hidden="1" outlineLevel="1" ht="222.75" customHeight="1" s="12" thickBot="1">
      <c r="A2" s="238" t="inlineStr">
        <is>
          <t>Dieses Template ist ein Hilfsmittel für die angemessene Dokumentation von Wirtschaftlichkeitsuntersuchungen zu finanzwirksamen Maßnahmen in Form einer externen Leistungserbringung, sofern die Maßnahme die folgenden Voraussetzungen erfüllt:
- Es handelt sich grundsätzlich um eine unterjährige finanzwirksame Maßnahme.
- Es handelt sich um einen einmaligen, nicht wiederkehrenden Bedarf.
- Zudem sollte die WU einen geringen Komplexitätsgrad aufweisen und daraus 
resultierend einen geringen Dokumentationsumfang zur Nachvollziehbarkeit benötigen.
Davon unbenommen ist die Durchführung einer umfassenden (übergreifenden) WU, 
sollte ein dauerhafter wiederkehrender Bedarf an externen Leistungen bestehen. 
KompZWUBw regt in diesen Fällen an, an jeweils zentraler Stelle eine übergreifende WU durchzuführen. 
Bei überjährigen Maßnahmen sind ggf. auch die OrgReferate zu beteiligen.</t>
        </is>
      </c>
      <c r="B2" s="236" t="n"/>
      <c r="C2" s="236" t="n"/>
      <c r="D2" s="236" t="n"/>
      <c r="E2" s="236" t="n"/>
      <c r="F2" s="236" t="n"/>
      <c r="G2" s="237" t="n"/>
      <c r="H2" s="16" t="n"/>
      <c r="I2" s="16" t="n"/>
    </row>
    <row r="3" collapsed="1" ht="35.1" customHeight="1" s="12" thickBot="1">
      <c r="A3" s="239" t="inlineStr">
        <is>
          <t>Für die weitere Bearbeitung dieser Vorlage sind bitte alle grau hinterlegten Felder auszufüllen.
Das Einfügen von weiteren Zeilen ist in diesem Template NICHT vorgesehen.</t>
        </is>
      </c>
      <c r="B3" s="236" t="n"/>
      <c r="C3" s="236" t="n"/>
      <c r="D3" s="236" t="n"/>
      <c r="E3" s="236" t="n"/>
      <c r="F3" s="236" t="n"/>
      <c r="G3" s="237" t="n"/>
      <c r="H3" s="16" t="n"/>
      <c r="I3" s="16" t="n"/>
    </row>
    <row r="4" ht="69" customHeight="1" s="12" thickBot="1">
      <c r="A4" s="195" t="inlineStr">
        <is>
          <t>Wirtschaftlichkeitsuntersuchung 
für die Inanspruchnahme einer 
externen Leistungserbringung</t>
        </is>
      </c>
      <c r="B4" s="236" t="n"/>
      <c r="C4" s="236" t="n"/>
      <c r="D4" s="236" t="n"/>
      <c r="E4" s="236" t="n"/>
      <c r="F4" s="240" t="inlineStr">
        <is>
          <t>offen
Version: 1</t>
        </is>
      </c>
      <c r="G4" s="237" t="n"/>
      <c r="H4" s="16" t="n"/>
      <c r="I4" s="16" t="n"/>
    </row>
    <row r="5" ht="52.5" customHeight="1" s="12" thickBot="1">
      <c r="A5" s="164" t="inlineStr">
        <is>
          <t>Dienststelle/
OrgEinheit:</t>
        </is>
      </c>
      <c r="B5" s="17" t="inlineStr">
        <is>
          <t>TrUebPlDst Leer, Niedersachsen</t>
        </is>
      </c>
      <c r="C5" s="165" t="inlineStr">
        <is>
          <t>Maßnahmen-verantwortlicher:</t>
        </is>
      </c>
      <c r="D5" s="166" t="inlineStr"/>
      <c r="E5" s="165" t="inlineStr">
        <is>
          <t>Durchführungs-verantwortlicher (Bearbeiter):</t>
        </is>
      </c>
      <c r="F5" s="167" t="inlineStr"/>
      <c r="G5" s="165" t="inlineStr">
        <is>
          <t xml:space="preserve">Art der Maßnahme:
einmalig, unterjährig </t>
        </is>
      </c>
      <c r="H5" s="16" t="n"/>
      <c r="I5" s="137" t="n"/>
    </row>
    <row r="6" ht="52.15" customHeight="1" s="12" thickBot="1">
      <c r="A6" s="164" t="inlineStr">
        <is>
          <t>Datum der
Erstellung:</t>
        </is>
      </c>
      <c r="B6" s="19" t="n">
        <v>46127</v>
      </c>
      <c r="C6" s="20" t="inlineStr">
        <is>
          <t>Beginn der 
Maßnahme:</t>
        </is>
      </c>
      <c r="D6" s="21" t="n">
        <v>46204</v>
      </c>
      <c r="E6" s="165" t="inlineStr">
        <is>
          <t>Ende der Maßnahme:</t>
        </is>
      </c>
      <c r="F6" s="21" t="n">
        <v>46387</v>
      </c>
      <c r="G6" s="241" t="n"/>
      <c r="H6" s="16" t="n"/>
      <c r="I6" s="133" t="inlineStr">
        <is>
          <t>Hinweise zur Dokumentenkopfzeile</t>
        </is>
      </c>
    </row>
    <row r="7" ht="20.1" customHeight="1" s="12" thickBot="1">
      <c r="A7" s="242" t="inlineStr">
        <is>
          <t>1. Bedarf</t>
        </is>
      </c>
      <c r="B7" s="236" t="n"/>
      <c r="C7" s="236" t="n"/>
      <c r="D7" s="236" t="n"/>
      <c r="E7" s="236" t="n"/>
      <c r="F7" s="236" t="n"/>
      <c r="G7" s="237" t="n"/>
      <c r="H7" s="16" t="n"/>
      <c r="I7" s="16" t="n"/>
    </row>
    <row r="8" ht="20.1" customHeight="1" s="12" thickBot="1">
      <c r="A8" s="242" t="inlineStr">
        <is>
          <t>1.1 Bedarfsforderung</t>
        </is>
      </c>
      <c r="B8" s="236" t="n"/>
      <c r="C8" s="236" t="n"/>
      <c r="D8" s="236" t="n"/>
      <c r="E8" s="236" t="n"/>
      <c r="F8" s="236" t="n"/>
      <c r="G8" s="237" t="n"/>
      <c r="H8" s="16" t="n"/>
      <c r="I8" s="133" t="inlineStr">
        <is>
          <t xml:space="preserve">Hinweise zur Bedarfsforderung </t>
        </is>
      </c>
    </row>
    <row r="9" ht="52.5" customHeight="1" s="12" thickBot="1">
      <c r="A9" s="22" t="inlineStr">
        <is>
          <t>Bezeichnung 
der benötigten Leistung:</t>
        </is>
      </c>
      <c r="B9" s="65" t="inlineStr">
        <is>
          <t>Sicherung und Zugangskontrolle Kaserne Leer</t>
        </is>
      </c>
      <c r="C9" s="23" t="n"/>
      <c r="D9" s="23" t="n"/>
      <c r="E9" s="23" t="n"/>
      <c r="F9" s="23" t="n"/>
      <c r="G9" s="167" t="n"/>
      <c r="H9" s="16" t="n"/>
      <c r="I9" s="16" t="n"/>
      <c r="N9">
        <f>COLUMN(B9)</f>
        <v/>
      </c>
    </row>
    <row r="10" hidden="1" ht="20.25" customHeight="1" s="12" thickBot="1">
      <c r="A10" s="22" t="n"/>
      <c r="B10" s="25" t="n"/>
      <c r="C10" s="23" t="n"/>
      <c r="D10" s="23" t="n"/>
      <c r="E10" s="23" t="n"/>
      <c r="F10" s="23" t="n"/>
      <c r="G10" s="167" t="n"/>
      <c r="H10" s="16" t="n"/>
      <c r="I10" s="16" t="n"/>
    </row>
    <row r="11" ht="69.75" customHeight="1" s="12" thickBot="1">
      <c r="A11" s="22" t="inlineStr">
        <is>
          <t>Beschreibung und Zielsetzung der benötigten Leistung:</t>
        </is>
      </c>
      <c r="B11" s="26" t="inlineStr">
        <is>
          <t>24/7-Sicherung des Hauptzugangs und Zugangskontrolle der TrUebPlDst Leer. Eingesetzte Kraefte benoetigen SU Ue1.</t>
        </is>
      </c>
      <c r="C11" s="23" t="n"/>
      <c r="D11" s="23" t="n"/>
      <c r="E11" s="23" t="n"/>
      <c r="F11" s="23" t="n"/>
      <c r="G11" s="167" t="n"/>
      <c r="H11" s="16" t="n"/>
      <c r="I11" s="16" t="n"/>
      <c r="N11">
        <f>COLUMN(B11)</f>
        <v/>
      </c>
    </row>
    <row r="12" hidden="1" ht="6.75" customHeight="1" s="12" thickBot="1">
      <c r="A12" s="22" t="n"/>
      <c r="B12" s="25" t="n"/>
      <c r="C12" s="23" t="n"/>
      <c r="D12" s="23" t="n"/>
      <c r="E12" s="23" t="n"/>
      <c r="F12" s="23" t="n"/>
      <c r="G12" s="167" t="n"/>
      <c r="H12" s="16" t="n"/>
      <c r="I12" s="16" t="n"/>
      <c r="N12">
        <f>COLUMN(B12)</f>
        <v/>
      </c>
    </row>
    <row r="13" ht="20.1" customHeight="1" s="12" thickBot="1">
      <c r="A13" s="243" t="inlineStr">
        <is>
          <t>1.2 Rahmenbedingungen (RB):</t>
        </is>
      </c>
      <c r="B13" s="244" t="n"/>
      <c r="C13" s="244" t="n"/>
      <c r="D13" s="244" t="n"/>
      <c r="E13" s="244" t="n"/>
      <c r="F13" s="244" t="n"/>
      <c r="G13" s="245" t="n"/>
      <c r="H13" s="16" t="n"/>
      <c r="I13" s="133" t="inlineStr">
        <is>
          <t>Hinweise zu den Rahmenbedingungen</t>
        </is>
      </c>
    </row>
    <row r="14" ht="18" customHeight="1" s="12" thickBot="1">
      <c r="A14" s="210" t="n">
        <v>1</v>
      </c>
      <c r="B14" s="246" t="n"/>
      <c r="C14" s="247" t="n"/>
      <c r="D14" s="28" t="n"/>
      <c r="E14" s="29" t="n"/>
      <c r="F14" s="29" t="n"/>
      <c r="G14" s="30" t="n"/>
      <c r="H14" s="16" t="n"/>
      <c r="I14" s="16" t="n"/>
      <c r="N14">
        <f>COLUMN(D14)</f>
        <v/>
      </c>
    </row>
    <row r="15" hidden="1" ht="18" customHeight="1" s="12" thickBot="1">
      <c r="A15" s="31" t="n">
        <v>2</v>
      </c>
      <c r="B15" s="248" t="n"/>
      <c r="C15" s="247" t="n"/>
      <c r="D15" s="28" t="n"/>
      <c r="E15" s="29" t="n"/>
      <c r="F15" s="29" t="n"/>
      <c r="G15" s="30" t="n"/>
      <c r="H15" s="16" t="n"/>
      <c r="I15" s="16" t="n"/>
      <c r="N15">
        <f>COLUMN(D15)</f>
        <v/>
      </c>
    </row>
    <row r="16" hidden="1" ht="18" customHeight="1" s="12" thickBot="1">
      <c r="A16" s="165" t="n">
        <v>3</v>
      </c>
      <c r="B16" s="249" t="n"/>
      <c r="C16" s="237" t="n"/>
      <c r="D16" s="28" t="n"/>
      <c r="E16" s="29" t="n"/>
      <c r="F16" s="29" t="n"/>
      <c r="G16" s="30" t="n"/>
      <c r="H16" s="16" t="n"/>
      <c r="I16" s="16" t="n"/>
      <c r="N16">
        <f>COLUMN(D16)</f>
        <v/>
      </c>
    </row>
    <row r="17" hidden="1" ht="18" customHeight="1" s="12" thickBot="1">
      <c r="A17" s="165" t="n">
        <v>4</v>
      </c>
      <c r="B17" s="249" t="n"/>
      <c r="C17" s="237" t="n"/>
      <c r="D17" s="28" t="n"/>
      <c r="E17" s="29" t="n"/>
      <c r="F17" s="29" t="n"/>
      <c r="G17" s="30" t="n"/>
      <c r="H17" s="16" t="n"/>
      <c r="I17" s="16" t="n"/>
      <c r="N17">
        <f>COLUMN(D17)</f>
        <v/>
      </c>
    </row>
    <row r="18" hidden="1" ht="18" customHeight="1" s="12" thickBot="1">
      <c r="A18" s="165" t="n">
        <v>5</v>
      </c>
      <c r="B18" s="249" t="n"/>
      <c r="C18" s="237" t="n"/>
      <c r="D18" s="28" t="n"/>
      <c r="E18" s="29" t="n"/>
      <c r="F18" s="29" t="n"/>
      <c r="G18" s="30" t="n"/>
      <c r="H18" s="16" t="n"/>
      <c r="I18" s="16" t="n"/>
      <c r="N18">
        <f>COLUMN(D18)</f>
        <v/>
      </c>
    </row>
    <row r="19" ht="20.1" customHeight="1" s="12" thickBot="1">
      <c r="A19" s="242" t="inlineStr">
        <is>
          <t>2. Ausgangslage</t>
        </is>
      </c>
      <c r="B19" s="236" t="n"/>
      <c r="C19" s="236" t="n"/>
      <c r="D19" s="236" t="n"/>
      <c r="E19" s="236" t="n"/>
      <c r="F19" s="236" t="n"/>
      <c r="G19" s="237" t="n"/>
      <c r="H19" s="16" t="n"/>
      <c r="I19" s="16" t="n"/>
    </row>
    <row r="20" ht="18" customHeight="1" s="12" thickBot="1">
      <c r="A20" s="26" t="inlineStr">
        <is>
          <t>Bewachung durch 3 Soldaten (A9m) im Schichtbetrieb. PSK-Vollkosten 137.400 EUR fuer 6 Monate. Personalmangel gefaehrdet Eigenbetrieb.</t>
        </is>
      </c>
      <c r="B20" s="23" t="n"/>
      <c r="C20" s="23" t="n"/>
      <c r="D20" s="23" t="n"/>
      <c r="E20" s="23" t="n"/>
      <c r="F20" s="23" t="n"/>
      <c r="G20" s="33" t="n"/>
      <c r="H20" s="16" t="n"/>
      <c r="I20" s="16" t="n"/>
      <c r="N20">
        <f>COLUMN(A20)</f>
        <v/>
      </c>
    </row>
    <row r="21" ht="20.1" customHeight="1" s="12" thickBot="1">
      <c r="A21" s="242" t="inlineStr">
        <is>
          <t>3. Optionen der Bedarfsdeckung</t>
        </is>
      </c>
      <c r="B21" s="236" t="n"/>
      <c r="C21" s="236" t="n"/>
      <c r="D21" s="236" t="n"/>
      <c r="E21" s="236" t="n"/>
      <c r="F21" s="236" t="n"/>
      <c r="G21" s="237" t="n"/>
      <c r="H21" s="16" t="n"/>
      <c r="I21" s="16" t="n"/>
    </row>
    <row r="22" ht="20.1" customHeight="1" s="12" thickBot="1">
      <c r="A22" s="242" t="inlineStr">
        <is>
          <t>3.1 Grundsätzlich mögliche Optionen</t>
        </is>
      </c>
      <c r="B22" s="236" t="n"/>
      <c r="C22" s="236" t="n"/>
      <c r="D22" s="236" t="n"/>
      <c r="E22" s="236" t="n"/>
      <c r="F22" s="236" t="n"/>
      <c r="G22" s="237" t="n"/>
      <c r="H22" s="16" t="n"/>
      <c r="I22" s="133" t="inlineStr">
        <is>
          <t>Hinweise zu den Optionen der Bedarfsdeckung</t>
        </is>
      </c>
    </row>
    <row r="23" ht="21.95" customHeight="1" s="12" thickBot="1">
      <c r="A23" s="34" t="inlineStr">
        <is>
          <t>Option</t>
        </is>
      </c>
      <c r="B23" s="35" t="n">
        <v>1</v>
      </c>
      <c r="C23" s="35" t="n"/>
      <c r="D23" s="180" t="inlineStr">
        <is>
          <t>Leistungserbringung durch die eigene Dienststelle</t>
        </is>
      </c>
      <c r="E23" s="236" t="n"/>
      <c r="F23" s="236" t="n"/>
      <c r="G23" s="237" t="n"/>
      <c r="H23" s="16" t="n"/>
      <c r="I23" s="16" t="n"/>
    </row>
    <row r="24" ht="21.95" customHeight="1" s="12" thickBot="1">
      <c r="A24" s="34" t="inlineStr">
        <is>
          <t>Option</t>
        </is>
      </c>
      <c r="B24" s="35" t="n">
        <v>2</v>
      </c>
      <c r="C24" s="35" t="n"/>
      <c r="D24" s="180" t="inlineStr">
        <is>
          <t>Leistungserbringung durch andere bundeswehrinterne Dienststellen</t>
        </is>
      </c>
      <c r="E24" s="236" t="n"/>
      <c r="F24" s="236" t="n"/>
      <c r="G24" s="237" t="n"/>
      <c r="H24" s="16" t="n"/>
      <c r="I24" s="16" t="n"/>
    </row>
    <row r="25" ht="21.95" customHeight="1" s="12" thickBot="1">
      <c r="A25" s="34" t="inlineStr">
        <is>
          <t>Option</t>
        </is>
      </c>
      <c r="B25" s="35" t="n">
        <v>3</v>
      </c>
      <c r="C25" s="35" t="n"/>
      <c r="D25" s="180" t="inlineStr">
        <is>
          <t>Leistungserbringung durch eine Inhousegesellschaft / Dienststelle eines anderen Ressorts</t>
        </is>
      </c>
      <c r="E25" s="236" t="n"/>
      <c r="F25" s="236" t="n"/>
      <c r="G25" s="237" t="n"/>
      <c r="H25" s="16" t="n"/>
      <c r="I25" s="16" t="n"/>
    </row>
    <row r="26" ht="21.95" customHeight="1" s="12" thickBot="1">
      <c r="A26" s="34" t="inlineStr">
        <is>
          <t>Option</t>
        </is>
      </c>
      <c r="B26" s="36" t="n">
        <v>4</v>
      </c>
      <c r="C26" s="35" t="n"/>
      <c r="D26" s="180" t="inlineStr">
        <is>
          <t>Leistungserbringung durch einen externen Dienstleister</t>
        </is>
      </c>
      <c r="E26" s="236" t="n"/>
      <c r="F26" s="236" t="n"/>
      <c r="G26" s="237" t="n"/>
      <c r="H26" s="16" t="n"/>
      <c r="I26" s="16" t="n"/>
    </row>
    <row r="27" ht="20.1" customHeight="1" s="12" thickBot="1">
      <c r="A27" s="242" t="inlineStr">
        <is>
          <t>3.2 Aussonderung ungeeigneter Optionen</t>
        </is>
      </c>
      <c r="B27" s="236" t="n"/>
      <c r="C27" s="236" t="n"/>
      <c r="D27" s="236" t="n"/>
      <c r="E27" s="236" t="n"/>
      <c r="F27" s="236" t="n"/>
      <c r="G27" s="237" t="n"/>
      <c r="H27" s="16" t="n"/>
      <c r="I27" s="134" t="inlineStr">
        <is>
          <t>Hinweise zur Aussonderung der Optionen</t>
        </is>
      </c>
    </row>
    <row r="28" hidden="1" ht="54.95" customHeight="1" s="12" thickBot="1">
      <c r="A28" s="250" t="n"/>
      <c r="B28" s="155" t="inlineStr">
        <is>
          <t>ist nicht bedarfsdeckend, weil:</t>
        </is>
      </c>
      <c r="C28" s="37" t="n"/>
      <c r="D28" s="152" t="inlineStr">
        <is>
          <t>nicht bedarfsdeckend, weil: keine BW-interne Dienststelle fuer Bewachungsleistungen</t>
        </is>
      </c>
      <c r="E28" s="152" t="n"/>
      <c r="F28" s="152" t="n"/>
      <c r="G28" s="153" t="n"/>
      <c r="H28" s="16" t="n"/>
      <c r="I28" s="16" t="n"/>
      <c r="N28">
        <f>COLUMN(C28)</f>
        <v/>
      </c>
    </row>
    <row r="29" hidden="1" ht="54.95" customHeight="1" s="12" thickBot="1">
      <c r="A29" s="241" t="n"/>
      <c r="B29" s="154" t="inlineStr">
        <is>
          <t>verstößt gegen:</t>
        </is>
      </c>
      <c r="C29" s="23" t="n"/>
      <c r="D29" s="23" t="n"/>
      <c r="E29" s="23" t="n"/>
      <c r="F29" s="23" t="n"/>
      <c r="G29" s="167" t="n"/>
      <c r="H29" s="16" t="n"/>
      <c r="I29" s="16" t="n"/>
    </row>
    <row r="30" hidden="1" ht="54.95" customHeight="1" s="12" thickBot="1">
      <c r="A30" s="250" t="n"/>
      <c r="B30" s="156" t="inlineStr">
        <is>
          <t>ist nicht bedarfsdeckend, weil:</t>
        </is>
      </c>
      <c r="C30" s="37" t="n"/>
      <c r="D30" s="152" t="inlineStr">
        <is>
          <t>nicht bedarfsdeckend, weil: keine Inhousegesellschaft fuer Bewachungsleistungen</t>
        </is>
      </c>
      <c r="E30" s="152" t="n"/>
      <c r="F30" s="152" t="n"/>
      <c r="G30" s="153" t="n"/>
      <c r="H30" s="16" t="n"/>
      <c r="I30" s="16" t="n"/>
      <c r="N30">
        <f>COLUMN(C30)</f>
        <v/>
      </c>
    </row>
    <row r="31" hidden="1" ht="54.95" customHeight="1" s="12" thickBot="1">
      <c r="A31" s="241" t="n"/>
      <c r="B31" s="154" t="inlineStr">
        <is>
          <t>verstößt gegen:</t>
        </is>
      </c>
      <c r="C31" s="23" t="n"/>
      <c r="D31" s="23" t="n"/>
      <c r="E31" s="23" t="n"/>
      <c r="F31" s="23" t="n"/>
      <c r="G31" s="167" t="n"/>
      <c r="H31" s="16" t="n"/>
      <c r="I31" s="16" t="n"/>
    </row>
    <row r="32" hidden="1" ht="54.95" customHeight="1" s="12" thickBot="1">
      <c r="A32" s="250" t="n"/>
      <c r="B32" s="156" t="inlineStr">
        <is>
          <t>ist nicht bedarfsdeckend, weil:</t>
        </is>
      </c>
      <c r="C32" s="37" t="n"/>
      <c r="D32" s="152" t="n"/>
      <c r="E32" s="152" t="n"/>
      <c r="F32" s="152" t="n"/>
      <c r="G32" s="153" t="n"/>
      <c r="H32" s="16" t="n"/>
      <c r="I32" s="16" t="n"/>
      <c r="N32">
        <f>COLUMN(C32)</f>
        <v/>
      </c>
    </row>
    <row r="33" hidden="1" ht="54.95" customHeight="1" s="12" thickBot="1">
      <c r="A33" s="241" t="n"/>
      <c r="B33" s="154" t="inlineStr">
        <is>
          <t>verstößt gegen:</t>
        </is>
      </c>
      <c r="C33" s="23" t="n"/>
      <c r="D33" s="23" t="n"/>
      <c r="E33" s="23" t="n"/>
      <c r="F33" s="23" t="n"/>
      <c r="G33" s="167" t="n"/>
      <c r="H33" s="16" t="n"/>
      <c r="I33" s="16" t="n"/>
    </row>
    <row r="34" hidden="1" ht="54.95" customHeight="1" s="12" thickBot="1">
      <c r="A34" s="250" t="n"/>
      <c r="B34" s="156" t="inlineStr">
        <is>
          <t>ist nicht bedarfsdeckend, weil:</t>
        </is>
      </c>
      <c r="C34" s="37" t="n"/>
      <c r="D34" s="152" t="n"/>
      <c r="E34" s="152" t="n"/>
      <c r="F34" s="152" t="n"/>
      <c r="G34" s="153" t="n"/>
      <c r="H34" s="16" t="n"/>
      <c r="I34" s="16" t="n"/>
      <c r="N34">
        <f>COLUMN(C34)</f>
        <v/>
      </c>
    </row>
    <row r="35" hidden="1" ht="54.95" customHeight="1" s="12" thickBot="1">
      <c r="A35" s="241" t="n"/>
      <c r="B35" s="154" t="inlineStr">
        <is>
          <t>verstößt gegen:</t>
        </is>
      </c>
      <c r="C35" s="23" t="n"/>
      <c r="D35" s="23" t="n"/>
      <c r="E35" s="23" t="n"/>
      <c r="F35" s="23" t="n"/>
      <c r="G35" s="167" t="n"/>
      <c r="H35" s="16" t="n"/>
      <c r="I35" s="16" t="n"/>
    </row>
    <row r="36" ht="20.1" customHeight="1" s="12" thickBot="1">
      <c r="A36" s="242" t="inlineStr">
        <is>
          <t>3.3 Darstellung geeigneter Optionen</t>
        </is>
      </c>
      <c r="B36" s="236" t="n"/>
      <c r="C36" s="236" t="n"/>
      <c r="D36" s="236" t="n"/>
      <c r="E36" s="236" t="n"/>
      <c r="F36" s="236" t="n"/>
      <c r="G36" s="237" t="n"/>
      <c r="H36" s="16" t="n"/>
      <c r="I36" s="16" t="n"/>
    </row>
    <row r="37" hidden="1" ht="39.75" customHeight="1" s="12" thickBot="1">
      <c r="A37" s="38" t="n"/>
      <c r="B37" s="39" t="n"/>
      <c r="C37" s="117" t="inlineStr">
        <is>
          <t>Bezeichnung der Ausgabe</t>
        </is>
      </c>
      <c r="D37" s="40" t="inlineStr">
        <is>
          <t>Beschreibung 
der Ausgabe</t>
        </is>
      </c>
      <c r="E37" s="40" t="inlineStr">
        <is>
          <t>Anzahl</t>
        </is>
      </c>
      <c r="F37" s="118" t="inlineStr">
        <is>
          <t>VZÄ</t>
        </is>
      </c>
      <c r="G37" s="41" t="inlineStr">
        <is>
          <t>Gesamt</t>
        </is>
      </c>
      <c r="H37" s="16" t="n"/>
      <c r="I37" s="133" t="inlineStr">
        <is>
          <t>Hinweise zur Darstellung der geeigneten Optionen</t>
        </is>
      </c>
    </row>
    <row r="38" hidden="1" ht="35.1" customHeight="1" s="12">
      <c r="A38" s="42" t="n"/>
      <c r="B38" s="43" t="n"/>
      <c r="C38" s="119" t="inlineStr">
        <is>
          <t>Tagegeld</t>
        </is>
      </c>
      <c r="D38" s="121" t="n">
        <v>0</v>
      </c>
      <c r="E38" s="123" t="n">
        <v>0</v>
      </c>
      <c r="F38" s="122" t="n">
        <v>0</v>
      </c>
      <c r="G38" s="48">
        <f>IF(AND(D38=0,E38=0),F38,IF(OR(D38="",D38=0),E38*F38,IF(OR(E38="",E38=0),D38*F38,D38*E38*F38)))*-1</f>
        <v/>
      </c>
      <c r="H38" s="16" t="n"/>
      <c r="I38" s="135" t="n"/>
    </row>
    <row r="39" hidden="1" ht="39.95" customHeight="1" s="12">
      <c r="A39" s="157" t="n"/>
      <c r="B39" s="251" t="inlineStr">
        <is>
          <t>Ausgaben für 
Bw-Personal</t>
        </is>
      </c>
      <c r="C39" s="139" t="inlineStr">
        <is>
          <t>Bei Bedarf bitte auswählen</t>
        </is>
      </c>
      <c r="D39" s="130" t="inlineStr">
        <is>
          <t>Personalkosten</t>
        </is>
      </c>
      <c r="E39" s="125" t="n">
        <v>0</v>
      </c>
      <c r="F39" s="127" t="n">
        <v>0</v>
      </c>
      <c r="G39" s="120" t="n">
        <v>-137400</v>
      </c>
      <c r="H39" s="16" t="n"/>
      <c r="I39" s="138" t="n"/>
      <c r="O39">
        <f>IF(C39="Personalnormkosten Arbeitnehmer",196.75,IF(C39="Personalnormkosten Beamte",195.5,IF(C39="Personalnormkosten Soldaten",208.18,"")))</f>
        <v/>
      </c>
      <c r="P39">
        <f>(($F$6-$D$6)+1)</f>
        <v/>
      </c>
      <c r="Q39">
        <f>O39/365</f>
        <v/>
      </c>
    </row>
    <row r="40" hidden="1" ht="39.95" customHeight="1" s="12">
      <c r="A40" s="158" t="n"/>
      <c r="B40" s="252" t="n"/>
      <c r="C40" s="140" t="inlineStr">
        <is>
          <t>Bei Bedarf bitte auswählen</t>
        </is>
      </c>
      <c r="D40" s="131" t="inlineStr">
        <is>
          <t>Bei Bedarf bitte auswählen</t>
        </is>
      </c>
      <c r="E40" s="124" t="n">
        <v>0</v>
      </c>
      <c r="F40" s="128" t="n">
        <v>0</v>
      </c>
      <c r="G40" s="120">
        <f>IF(C40="Bei Bedarf bitte auswählen",0,IF(D40="Bei Bedarf bitte auswählen",0,IF(E40=0,0,IF(F40=0,0,(VLOOKUP(D40,Hilfstabelle!$A$44:$B$140,2,FALSE)*E40*F40*-1)/O40*P40*Q40))))</f>
        <v/>
      </c>
      <c r="H40" s="16" t="n"/>
      <c r="I40" s="16" t="n"/>
      <c r="O40">
        <f>IF(C40="Personalnormkosten Arbeitnehmer",196.75,IF(C40="Personalnormkosten Beamte",195.5,IF(C40="Personalnormkosten Soldaten",208.18,"")))</f>
        <v/>
      </c>
      <c r="P40">
        <f>(($F$6-$D$6)+1)</f>
        <v/>
      </c>
      <c r="Q40">
        <f>O40/365</f>
        <v/>
      </c>
    </row>
    <row r="41" hidden="1" ht="39.95" customHeight="1" s="12" thickBot="1">
      <c r="A41" s="42" t="n"/>
      <c r="B41" s="253" t="n"/>
      <c r="C41" s="141" t="inlineStr">
        <is>
          <t>Bei Bedarf bitte auswählen</t>
        </is>
      </c>
      <c r="D41" s="132" t="inlineStr">
        <is>
          <t>Bei Bedarf bitte auswählen</t>
        </is>
      </c>
      <c r="E41" s="126" t="n">
        <v>0</v>
      </c>
      <c r="F41" s="129" t="n">
        <v>0</v>
      </c>
      <c r="G41" s="120">
        <f>IF(C41="Bei Bedarf bitte auswählen",0,IF(D41="Bei Bedarf bitte auswählen",0,IF(E41=0,0,IF(F41=0,0,(VLOOKUP(D41,Hilfstabelle!$A$44:$B$140,2,FALSE)*E41*F41*-1)/O41*P41*Q41))))</f>
        <v/>
      </c>
      <c r="H41" s="16" t="n"/>
      <c r="I41" s="16" t="n"/>
      <c r="O41">
        <f>IF(C41="Personalnormkosten Arbeitnehmer",196.75,IF(C41="Personalnormkosten Beamte",195.5,IF(C41="Personalnormkosten Soldaten",208.18,"")))</f>
        <v/>
      </c>
      <c r="P41">
        <f>(($F$6-$D$6)+1)</f>
        <v/>
      </c>
      <c r="Q41">
        <f>O41/365</f>
        <v/>
      </c>
    </row>
    <row r="42" hidden="1" ht="39.95" customHeight="1" s="12" thickBot="1">
      <c r="A42" s="157" t="inlineStr">
        <is>
          <t>Option</t>
        </is>
      </c>
      <c r="B42" s="51" t="inlineStr">
        <is>
          <t>Ausgaben für 
Bw-Material</t>
        </is>
      </c>
      <c r="C42" s="147" t="inlineStr">
        <is>
          <t>Sonstiges</t>
        </is>
      </c>
      <c r="D42" s="67" t="n"/>
      <c r="E42" s="68" t="n"/>
      <c r="F42" s="142" t="n"/>
      <c r="G42" s="55" t="n">
        <v>0</v>
      </c>
      <c r="H42" s="16" t="n"/>
      <c r="I42" s="135" t="n"/>
    </row>
    <row r="43" hidden="1" ht="39.95" customHeight="1" s="12" thickBot="1">
      <c r="A43" s="158">
        <f>IF(B23="","",B23)</f>
        <v/>
      </c>
      <c r="B43" s="173" t="inlineStr">
        <is>
          <t>Ausgaben für 
Bw-Infrastruktur</t>
        </is>
      </c>
      <c r="C43" s="144" t="inlineStr">
        <is>
          <t>Sonstiges</t>
        </is>
      </c>
      <c r="D43" s="52" t="n"/>
      <c r="E43" s="53" t="n"/>
      <c r="F43" s="48" t="n"/>
      <c r="G43" s="58" t="n">
        <v>0</v>
      </c>
      <c r="H43" s="16" t="n"/>
      <c r="I43" s="16" t="n"/>
    </row>
    <row r="44" hidden="1" ht="39.95" customHeight="1" s="12" thickBot="1">
      <c r="A44" s="56" t="n"/>
      <c r="B44" s="59" t="n"/>
      <c r="C44" s="60" t="inlineStr">
        <is>
          <t>Unterbringung seitens Bw verfügbar 
(unentgetlich)</t>
        </is>
      </c>
      <c r="D44" s="61" t="n"/>
      <c r="E44" s="62" t="n"/>
      <c r="F44" s="73" t="n"/>
      <c r="G44" s="64" t="n">
        <v>0</v>
      </c>
      <c r="H44" s="16" t="n"/>
      <c r="I44" s="16" t="n"/>
    </row>
    <row r="45" hidden="1" ht="39.95" customHeight="1" s="12" thickBot="1">
      <c r="A45" s="234" t="inlineStr">
        <is>
          <t>Leistungserbringung durch die eigene Dienststelle</t>
        </is>
      </c>
      <c r="B45" s="51" t="inlineStr">
        <is>
          <t>Ausgaben für sonstige Dienstleistungen</t>
        </is>
      </c>
      <c r="C45" s="144" t="inlineStr">
        <is>
          <t>externe
Dienstleistung</t>
        </is>
      </c>
      <c r="D45" s="65" t="n"/>
      <c r="E45" s="53" t="n"/>
      <c r="F45" s="142" t="n"/>
      <c r="G45" s="55" t="n">
        <v>0</v>
      </c>
      <c r="H45" s="16" t="n"/>
      <c r="I45" s="16" t="n"/>
    </row>
    <row r="46" hidden="1" ht="39.95" customHeight="1" s="12" thickBot="1">
      <c r="A46" s="254" t="n"/>
      <c r="B46" s="255" t="n"/>
      <c r="C46" s="144" t="inlineStr">
        <is>
          <t>externe 
Prüfung</t>
        </is>
      </c>
      <c r="D46" s="65" t="n"/>
      <c r="E46" s="53" t="n"/>
      <c r="F46" s="142" t="n"/>
      <c r="G46" s="55" t="n">
        <v>0</v>
      </c>
      <c r="H46" s="16" t="n"/>
      <c r="I46" s="16" t="n"/>
    </row>
    <row r="47" hidden="1" ht="39.95" customHeight="1" s="12" thickBot="1">
      <c r="A47" s="254" t="n"/>
      <c r="B47" s="255" t="n"/>
      <c r="C47" s="144" t="inlineStr">
        <is>
          <t>externe 
Wartung</t>
        </is>
      </c>
      <c r="D47" s="65" t="n"/>
      <c r="E47" s="53" t="n"/>
      <c r="F47" s="142" t="n"/>
      <c r="G47" s="55" t="n">
        <v>0</v>
      </c>
      <c r="H47" s="16" t="n"/>
      <c r="I47" s="16" t="n"/>
    </row>
    <row r="48" hidden="1" ht="39.95" customHeight="1" s="12" thickBot="1">
      <c r="A48" s="254" t="n"/>
      <c r="B48" s="255" t="n"/>
      <c r="C48" s="145" t="inlineStr">
        <is>
          <t>externe 
Lizenzen</t>
        </is>
      </c>
      <c r="D48" s="65" t="n"/>
      <c r="E48" s="53" t="n"/>
      <c r="F48" s="142" t="n"/>
      <c r="G48" s="55" t="n">
        <v>0</v>
      </c>
      <c r="H48" s="16" t="n"/>
      <c r="I48" s="16" t="n"/>
    </row>
    <row r="49" hidden="1" ht="39.95" customHeight="1" s="12" thickBot="1">
      <c r="A49" s="256" t="n"/>
      <c r="B49" s="241" t="n"/>
      <c r="C49" s="144" t="inlineStr">
        <is>
          <t>Sonstiges</t>
        </is>
      </c>
      <c r="D49" s="67" t="n"/>
      <c r="E49" s="68" t="n"/>
      <c r="F49" s="143" t="n"/>
      <c r="G49" s="70" t="n">
        <v>0</v>
      </c>
      <c r="H49" s="16" t="n"/>
      <c r="I49" s="16" t="n"/>
    </row>
    <row r="50" hidden="1" ht="39.95" customHeight="1" s="12" thickBot="1">
      <c r="A50" s="38" t="n"/>
      <c r="B50" s="39" t="n"/>
      <c r="C50" s="40" t="inlineStr">
        <is>
          <t>Bezeichnung der Ausgabe</t>
        </is>
      </c>
      <c r="D50" s="40" t="inlineStr">
        <is>
          <t>Beschreibung 
der Ausgabe</t>
        </is>
      </c>
      <c r="E50" s="40" t="inlineStr">
        <is>
          <t>Anzahl</t>
        </is>
      </c>
      <c r="F50" s="118" t="inlineStr">
        <is>
          <t>VZÄ</t>
        </is>
      </c>
      <c r="G50" s="41" t="inlineStr">
        <is>
          <t>Gesamt</t>
        </is>
      </c>
      <c r="H50" s="16" t="n"/>
      <c r="I50" s="133" t="inlineStr">
        <is>
          <t>Hinweise zur Darstellung der geeigneten Optionen</t>
        </is>
      </c>
    </row>
    <row r="51" hidden="1" ht="35.1" customHeight="1" s="12" thickBot="1">
      <c r="A51" s="42" t="n"/>
      <c r="B51" s="71" t="n"/>
      <c r="C51" s="44" t="inlineStr">
        <is>
          <t>Tagegeld</t>
        </is>
      </c>
      <c r="D51" s="45" t="n">
        <v>0</v>
      </c>
      <c r="E51" s="46" t="n">
        <v>0</v>
      </c>
      <c r="F51" s="47" t="n">
        <v>0</v>
      </c>
      <c r="G51" s="48">
        <f>IF(AND(D51=0,E51=0),F51,IF(OR(D51="",D51=0),E51*F51,IF(OR(E51="",E51=0),D51*F51,D51*E51*F51)))*-1</f>
        <v/>
      </c>
      <c r="H51" s="16" t="n"/>
      <c r="I51" s="135" t="n"/>
    </row>
    <row r="52" hidden="1" ht="39.95" customHeight="1" s="12">
      <c r="A52" s="49" t="n"/>
      <c r="B52" s="51" t="inlineStr">
        <is>
          <t>Ausgaben für 
Bw-Personal</t>
        </is>
      </c>
      <c r="C52" s="139" t="inlineStr">
        <is>
          <t>Bei Bedarf bitte auswählen</t>
        </is>
      </c>
      <c r="D52" s="130" t="inlineStr">
        <is>
          <t>Bei Bedarf bitte auswählen</t>
        </is>
      </c>
      <c r="E52" s="125" t="n">
        <v>0</v>
      </c>
      <c r="F52" s="127" t="n">
        <v>0</v>
      </c>
      <c r="G52" s="120">
        <f>IF(C52="Bei Bedarf bitte auswählen",0,IF(D52="Bei Bedarf bitte auswählen",0,IF(E52=0,0,IF(F52=0,0,(VLOOKUP(D52,Hilfstabelle!$A$44:$B$140,2,FALSE)*E52*F52*-1)/O52*P52*Q52))))</f>
        <v/>
      </c>
      <c r="H52" s="16" t="n"/>
      <c r="I52" s="135" t="n"/>
      <c r="O52">
        <f>IF(C52="Personalnormkosten Arbeitnehmer",196.75,IF(C52="Personalnormkosten Beamte",195.5,IF(C52="Personalnormkosten Soldaten",208.18,"")))</f>
        <v/>
      </c>
      <c r="P52">
        <f>(($F$6-$D$6)+1)</f>
        <v/>
      </c>
      <c r="Q52">
        <f>O52/365</f>
        <v/>
      </c>
    </row>
    <row r="53" hidden="1" ht="39.95" customHeight="1" s="12">
      <c r="A53" s="50" t="n"/>
      <c r="B53" s="255" t="n"/>
      <c r="C53" s="140" t="inlineStr">
        <is>
          <t>Bei Bedarf bitte auswählen</t>
        </is>
      </c>
      <c r="D53" s="131" t="inlineStr">
        <is>
          <t>Bei Bedarf bitte auswählen</t>
        </is>
      </c>
      <c r="E53" s="124" t="n">
        <v>0</v>
      </c>
      <c r="F53" s="128" t="n">
        <v>0</v>
      </c>
      <c r="G53" s="120">
        <f>IF(C53="Bei Bedarf bitte auswählen",0,IF(D53="Bei Bedarf bitte auswählen",0,IF(E53=0,0,IF(F53=0,0,(VLOOKUP(D53,Hilfstabelle!$A$44:$B$140,2,FALSE)*E53*F53*-1)/O53*P53*Q53))))</f>
        <v/>
      </c>
      <c r="H53" s="16" t="n"/>
      <c r="I53" s="16" t="n"/>
      <c r="O53">
        <f>IF(C53="Personalnormkosten Arbeitnehmer",196.75,IF(C53="Personalnormkosten Beamte",195.5,IF(C53="Personalnormkosten Soldaten",208.18,"")))</f>
        <v/>
      </c>
      <c r="P53">
        <f>(($F$6-$D$6)+1)</f>
        <v/>
      </c>
      <c r="Q53">
        <f>O53/365</f>
        <v/>
      </c>
    </row>
    <row r="54" hidden="1" ht="39.95" customHeight="1" s="12" thickBot="1">
      <c r="A54" s="157" t="inlineStr">
        <is>
          <t>Option</t>
        </is>
      </c>
      <c r="B54" s="241" t="n"/>
      <c r="C54" s="141" t="inlineStr">
        <is>
          <t>Bei Bedarf bitte auswählen</t>
        </is>
      </c>
      <c r="D54" s="132" t="inlineStr">
        <is>
          <t>Bei Bedarf bitte auswählen</t>
        </is>
      </c>
      <c r="E54" s="126" t="n">
        <v>0</v>
      </c>
      <c r="F54" s="129" t="n">
        <v>0</v>
      </c>
      <c r="G54" s="120">
        <f>IF(C54="Bei Bedarf bitte auswählen",0,IF(D54="Bei Bedarf bitte auswählen",0,IF(E54=0,0,IF(F54=0,0,(VLOOKUP(D54,Hilfstabelle!$A$44:$B$140,2,FALSE)*E54*F54*-1)/O54*P54*Q54))))</f>
        <v/>
      </c>
      <c r="H54" s="16" t="n"/>
      <c r="I54" s="16" t="n"/>
      <c r="O54">
        <f>IF(C54="Personalnormkosten Arbeitnehmer",196.75,IF(C54="Personalnormkosten Beamte",195.5,IF(C54="Personalnormkosten Soldaten",208.18,"")))</f>
        <v/>
      </c>
      <c r="P54">
        <f>(($F$6-$D$6)+1)</f>
        <v/>
      </c>
      <c r="Q54">
        <f>O54/365</f>
        <v/>
      </c>
    </row>
    <row r="55" hidden="1" ht="39.95" customHeight="1" s="12" thickBot="1">
      <c r="A55" s="158">
        <f>IF(B24="","",B24)</f>
        <v/>
      </c>
      <c r="B55" s="51" t="inlineStr">
        <is>
          <t>Ausgaben für 
Bw-Material</t>
        </is>
      </c>
      <c r="C55" s="144" t="inlineStr">
        <is>
          <t>Sonstiges</t>
        </is>
      </c>
      <c r="D55" s="52" t="n"/>
      <c r="E55" s="53" t="n"/>
      <c r="F55" s="54" t="n"/>
      <c r="G55" s="55" t="n">
        <v>0</v>
      </c>
      <c r="H55" s="16" t="n"/>
      <c r="I55" s="135" t="n"/>
    </row>
    <row r="56" hidden="1" ht="39.95" customHeight="1" s="12" thickBot="1">
      <c r="A56" s="168" t="n"/>
      <c r="B56" s="173" t="inlineStr">
        <is>
          <t>Ausgaben für 
Bw-Infrastruktur</t>
        </is>
      </c>
      <c r="C56" s="144" t="inlineStr">
        <is>
          <t>Sonstiges</t>
        </is>
      </c>
      <c r="D56" s="52" t="n"/>
      <c r="E56" s="53" t="n"/>
      <c r="F56" s="54" t="n"/>
      <c r="G56" s="58" t="n">
        <v>0</v>
      </c>
      <c r="H56" s="16" t="n"/>
      <c r="I56" s="16" t="n"/>
    </row>
    <row r="57" hidden="1" ht="24.95" customHeight="1" s="12" thickBot="1">
      <c r="A57" s="168" t="n"/>
      <c r="B57" s="71" t="n"/>
      <c r="C57" s="146" t="inlineStr">
        <is>
          <t>Unterbringung seitens Bw verfügbar 
(unentgetlich)</t>
        </is>
      </c>
      <c r="D57" s="61" t="n"/>
      <c r="E57" s="62" t="n"/>
      <c r="F57" s="171" t="n"/>
      <c r="G57" s="73" t="n">
        <v>0</v>
      </c>
      <c r="H57" s="16" t="n"/>
      <c r="I57" s="16" t="n"/>
    </row>
    <row r="58" hidden="1" ht="39.95" customHeight="1" s="12" thickBot="1">
      <c r="A58" s="169" t="inlineStr">
        <is>
          <t>Leistungserbringung durch die eigene Dienststelle</t>
        </is>
      </c>
      <c r="B58" s="51" t="inlineStr">
        <is>
          <t>Ausgaben für sonstige Dienst-leistungen</t>
        </is>
      </c>
      <c r="C58" s="144" t="inlineStr">
        <is>
          <t>externe
Dienstleistung</t>
        </is>
      </c>
      <c r="D58" s="65" t="n"/>
      <c r="E58" s="53" t="n"/>
      <c r="F58" s="53" t="n"/>
      <c r="G58" s="55" t="n">
        <v>0</v>
      </c>
      <c r="H58" s="16" t="n"/>
      <c r="I58" s="16" t="n"/>
    </row>
    <row r="59" hidden="1" ht="39.95" customHeight="1" s="12" thickBot="1">
      <c r="A59" s="254" t="n"/>
      <c r="B59" s="255" t="n"/>
      <c r="C59" s="144" t="inlineStr">
        <is>
          <t>externe 
Prüfung</t>
        </is>
      </c>
      <c r="D59" s="65" t="n"/>
      <c r="E59" s="53" t="n"/>
      <c r="F59" s="53" t="n"/>
      <c r="G59" s="55" t="n">
        <v>0</v>
      </c>
      <c r="H59" s="16" t="n"/>
      <c r="I59" s="16" t="n"/>
    </row>
    <row r="60" hidden="1" ht="39.95" customHeight="1" s="12" thickBot="1">
      <c r="A60" s="254" t="n"/>
      <c r="B60" s="255" t="n"/>
      <c r="C60" s="144" t="inlineStr">
        <is>
          <t>externe 
Wartung</t>
        </is>
      </c>
      <c r="D60" s="65" t="n"/>
      <c r="E60" s="53" t="n"/>
      <c r="F60" s="53" t="n"/>
      <c r="G60" s="55" t="n">
        <v>0</v>
      </c>
      <c r="H60" s="16" t="n"/>
      <c r="I60" s="16" t="n"/>
    </row>
    <row r="61" hidden="1" ht="39.95" customHeight="1" s="12" thickBot="1">
      <c r="A61" s="254" t="n"/>
      <c r="B61" s="255" t="n"/>
      <c r="C61" s="145" t="inlineStr">
        <is>
          <t>externe 
Lizenzen</t>
        </is>
      </c>
      <c r="D61" s="65" t="n"/>
      <c r="E61" s="53" t="n"/>
      <c r="F61" s="53" t="n"/>
      <c r="G61" s="55" t="n">
        <v>0</v>
      </c>
      <c r="H61" s="16" t="n"/>
      <c r="I61" s="16" t="n"/>
    </row>
    <row r="62" hidden="1" ht="39.95" customHeight="1" s="12" thickBot="1">
      <c r="A62" s="256" t="n"/>
      <c r="B62" s="241" t="n"/>
      <c r="C62" s="144" t="inlineStr">
        <is>
          <t>Sonstiges</t>
        </is>
      </c>
      <c r="D62" s="67" t="n"/>
      <c r="E62" s="68" t="n"/>
      <c r="F62" s="69" t="n"/>
      <c r="G62" s="70" t="n">
        <v>0</v>
      </c>
      <c r="H62" s="16" t="n"/>
      <c r="I62" s="16" t="n"/>
    </row>
    <row r="63" hidden="1" ht="39.95" customHeight="1" s="12" thickBot="1">
      <c r="A63" s="38" t="n"/>
      <c r="B63" s="39" t="n"/>
      <c r="C63" s="40" t="inlineStr">
        <is>
          <t>Bezeichnung der Ausgabe</t>
        </is>
      </c>
      <c r="D63" s="40" t="inlineStr">
        <is>
          <t>Beschreibung 
der Ausgabe</t>
        </is>
      </c>
      <c r="E63" s="40" t="inlineStr">
        <is>
          <t>Anzahl</t>
        </is>
      </c>
      <c r="F63" s="118" t="inlineStr">
        <is>
          <t>VZÄ</t>
        </is>
      </c>
      <c r="G63" s="41" t="inlineStr">
        <is>
          <t>Gesamt</t>
        </is>
      </c>
      <c r="H63" s="16" t="n"/>
      <c r="I63" s="133" t="inlineStr">
        <is>
          <t>Hinweise zur Darstellung der geeigneten Optionen</t>
        </is>
      </c>
    </row>
    <row r="64" hidden="1" ht="35.1" customHeight="1" s="12">
      <c r="A64" s="42" t="n"/>
      <c r="B64" s="71" t="n"/>
      <c r="C64" s="44" t="inlineStr">
        <is>
          <t>Tagegeld</t>
        </is>
      </c>
      <c r="D64" s="74" t="n">
        <v>0</v>
      </c>
      <c r="E64" s="75" t="n">
        <v>0</v>
      </c>
      <c r="F64" s="76" t="n">
        <v>0</v>
      </c>
      <c r="G64" s="48">
        <f>IF(AND(D64=0,E64=0),F64,IF(OR(D64="",D64=0),E64*F64,IF(OR(E64="",E64=0),D64*F64,D64*E64*F64)))*-1</f>
        <v/>
      </c>
      <c r="H64" s="16" t="n"/>
      <c r="I64" s="135" t="n"/>
    </row>
    <row r="65" hidden="1" ht="39.95" customHeight="1" s="12">
      <c r="A65" s="49" t="n"/>
      <c r="B65" s="51" t="inlineStr">
        <is>
          <t>Ausgaben für 
Bw-Personal</t>
        </is>
      </c>
      <c r="C65" s="139" t="inlineStr">
        <is>
          <t>Bei Bedarf bitte auswählen</t>
        </is>
      </c>
      <c r="D65" s="130" t="inlineStr">
        <is>
          <t>Bei Bedarf bitte auswählen</t>
        </is>
      </c>
      <c r="E65" s="125" t="n">
        <v>0</v>
      </c>
      <c r="F65" s="127" t="n">
        <v>0</v>
      </c>
      <c r="G65" s="120">
        <f>IF(C65="Bei Bedarf bitte auswählen",0,IF(D65="Bei Bedarf bitte auswählen",0,IF(E65=0,0,IF(F65=0,0,(VLOOKUP(D65,Hilfstabelle!$A$44:$B$140,2,FALSE)*E65*F65*-1)/O65*P65*Q65))))</f>
        <v/>
      </c>
      <c r="H65" s="16" t="n"/>
      <c r="I65" s="135" t="n"/>
      <c r="O65">
        <f>IF(C65="Personalnormkosten Arbeitnehmer",196.75,IF(C65="Personalnormkosten Beamte",195.5,IF(C65="Personalnormkosten Soldaten",208.18,"")))</f>
        <v/>
      </c>
      <c r="P65">
        <f>(($F$6-$D$6)+1)</f>
        <v/>
      </c>
      <c r="Q65">
        <f>O65/365</f>
        <v/>
      </c>
    </row>
    <row r="66" hidden="1" ht="39.95" customHeight="1" s="12">
      <c r="A66" s="50" t="n"/>
      <c r="B66" s="255" t="n"/>
      <c r="C66" s="140" t="inlineStr">
        <is>
          <t>Bei Bedarf bitte auswählen</t>
        </is>
      </c>
      <c r="D66" s="131" t="inlineStr">
        <is>
          <t>Bei Bedarf bitte auswählen</t>
        </is>
      </c>
      <c r="E66" s="124" t="n">
        <v>0</v>
      </c>
      <c r="F66" s="128" t="n">
        <v>0</v>
      </c>
      <c r="G66" s="120">
        <f>IF(C66="Bei Bedarf bitte auswählen",0,IF(D66="Bei Bedarf bitte auswählen",0,IF(E66=0,0,IF(F66=0,0,(VLOOKUP(D66,Hilfstabelle!$A$44:$B$140,2,FALSE)*E66*F66*-1)/O66*P66*Q66))))</f>
        <v/>
      </c>
      <c r="H66" s="16" t="n"/>
      <c r="I66" s="16" t="n"/>
      <c r="O66">
        <f>IF(C66="Personalnormkosten Arbeitnehmer",196.75,IF(C66="Personalnormkosten Beamte",195.5,IF(C66="Personalnormkosten Soldaten",208.18,"")))</f>
        <v/>
      </c>
      <c r="P66">
        <f>(($F$6-$D$6)+1)</f>
        <v/>
      </c>
      <c r="Q66">
        <f>O66/365</f>
        <v/>
      </c>
    </row>
    <row r="67" hidden="1" ht="39.95" customHeight="1" s="12" thickBot="1">
      <c r="A67" s="157" t="inlineStr">
        <is>
          <t>Option</t>
        </is>
      </c>
      <c r="B67" s="241" t="n"/>
      <c r="C67" s="141" t="inlineStr">
        <is>
          <t>Bei Bedarf bitte auswählen</t>
        </is>
      </c>
      <c r="D67" s="132" t="inlineStr">
        <is>
          <t>Bei Bedarf bitte auswählen</t>
        </is>
      </c>
      <c r="E67" s="126" t="n">
        <v>0</v>
      </c>
      <c r="F67" s="129" t="n">
        <v>0</v>
      </c>
      <c r="G67" s="120">
        <f>IF(C67="Bei Bedarf bitte auswählen",0,IF(D67="Bei Bedarf bitte auswählen",0,IF(E67=0,0,IF(F67=0,0,(VLOOKUP(D67,Hilfstabelle!$A$44:$B$140,2,FALSE)*E67*F67*-1)/O67*P67*Q67))))</f>
        <v/>
      </c>
      <c r="H67" s="16" t="n"/>
      <c r="I67" s="16" t="n"/>
      <c r="O67">
        <f>IF(C67="Personalnormkosten Arbeitnehmer",196.75,IF(C67="Personalnormkosten Beamte",195.5,IF(C67="Personalnormkosten Soldaten",208.18,"")))</f>
        <v/>
      </c>
      <c r="P67">
        <f>(($F$6-$D$6)+1)</f>
        <v/>
      </c>
      <c r="Q67">
        <f>O67/365</f>
        <v/>
      </c>
    </row>
    <row r="68" hidden="1" ht="39.95" customHeight="1" s="12" thickBot="1">
      <c r="A68" s="158">
        <f>IF(B25="","",B25)</f>
        <v/>
      </c>
      <c r="B68" s="51" t="inlineStr">
        <is>
          <t>Ausgaben für 
Bw-Material</t>
        </is>
      </c>
      <c r="C68" s="144" t="inlineStr">
        <is>
          <t>Sonstiges</t>
        </is>
      </c>
      <c r="D68" s="52" t="n"/>
      <c r="E68" s="53" t="n"/>
      <c r="F68" s="54" t="n"/>
      <c r="G68" s="55" t="n">
        <v>0</v>
      </c>
      <c r="H68" s="16" t="n"/>
      <c r="I68" s="135" t="n"/>
    </row>
    <row r="69" hidden="1" ht="39.95" customHeight="1" s="12" thickBot="1">
      <c r="A69" s="168" t="n"/>
      <c r="B69" s="173" t="inlineStr">
        <is>
          <t>Ausgaben für 
Bw-Infrastruktur</t>
        </is>
      </c>
      <c r="C69" s="144" t="inlineStr">
        <is>
          <t>Sonstiges</t>
        </is>
      </c>
      <c r="D69" s="52" t="n"/>
      <c r="E69" s="53" t="n"/>
      <c r="F69" s="54" t="n"/>
      <c r="G69" s="58" t="n">
        <v>0</v>
      </c>
      <c r="H69" s="16" t="n"/>
      <c r="I69" s="16" t="n"/>
    </row>
    <row r="70" hidden="1" ht="39.95" customHeight="1" s="12" thickBot="1">
      <c r="A70" s="254" t="n"/>
      <c r="B70" s="71" t="n"/>
      <c r="C70" s="148" t="inlineStr">
        <is>
          <t>Unterbringung seitens Bw verfügbar 
(unentgetlich)</t>
        </is>
      </c>
      <c r="D70" s="61" t="n"/>
      <c r="E70" s="62" t="n"/>
      <c r="F70" s="171" t="n"/>
      <c r="G70" s="73" t="n">
        <v>0</v>
      </c>
      <c r="H70" s="16" t="n"/>
      <c r="I70" s="16" t="n"/>
    </row>
    <row r="71" hidden="1" ht="39.95" customHeight="1" s="12" thickBot="1">
      <c r="A71" s="169" t="inlineStr">
        <is>
          <t>Leistungserbringung durch die eigene Dienststelle</t>
        </is>
      </c>
      <c r="B71" s="51" t="inlineStr">
        <is>
          <t>Ausgaben für sonstige Dienst-leistungen</t>
        </is>
      </c>
      <c r="C71" s="144" t="inlineStr">
        <is>
          <t>externe
Dienstleistung</t>
        </is>
      </c>
      <c r="D71" s="65" t="n"/>
      <c r="E71" s="53" t="n"/>
      <c r="F71" s="53" t="n"/>
      <c r="G71" s="55" t="n">
        <v>0</v>
      </c>
      <c r="H71" s="16" t="n"/>
      <c r="I71" s="16" t="n"/>
    </row>
    <row r="72" hidden="1" ht="39.95" customHeight="1" s="12" thickBot="1">
      <c r="A72" s="254" t="n"/>
      <c r="B72" s="255" t="n"/>
      <c r="C72" s="144" t="inlineStr">
        <is>
          <t>externe 
Prüfung</t>
        </is>
      </c>
      <c r="D72" s="65" t="n"/>
      <c r="E72" s="53" t="n"/>
      <c r="F72" s="53" t="n"/>
      <c r="G72" s="55" t="n">
        <v>0</v>
      </c>
      <c r="H72" s="16" t="n"/>
      <c r="I72" s="16" t="n"/>
    </row>
    <row r="73" hidden="1" ht="39.95" customHeight="1" s="12" thickBot="1">
      <c r="A73" s="254" t="n"/>
      <c r="B73" s="255" t="n"/>
      <c r="C73" s="144" t="inlineStr">
        <is>
          <t>externe 
Wartung</t>
        </is>
      </c>
      <c r="D73" s="65" t="n"/>
      <c r="E73" s="53" t="n"/>
      <c r="F73" s="53" t="n"/>
      <c r="G73" s="55" t="n">
        <v>0</v>
      </c>
      <c r="H73" s="16" t="n"/>
      <c r="I73" s="16" t="n"/>
    </row>
    <row r="74" hidden="1" ht="39.95" customHeight="1" s="12" thickBot="1">
      <c r="A74" s="254" t="n"/>
      <c r="B74" s="255" t="n"/>
      <c r="C74" s="145" t="inlineStr">
        <is>
          <t>externe 
Lizenzen</t>
        </is>
      </c>
      <c r="D74" s="65" t="n"/>
      <c r="E74" s="53" t="n"/>
      <c r="F74" s="53" t="n"/>
      <c r="G74" s="55" t="n">
        <v>0</v>
      </c>
      <c r="H74" s="16" t="n"/>
      <c r="I74" s="16" t="n"/>
    </row>
    <row r="75" hidden="1" ht="39.95" customHeight="1" s="12" thickBot="1">
      <c r="A75" s="256" t="n"/>
      <c r="B75" s="241" t="n"/>
      <c r="C75" s="144" t="inlineStr">
        <is>
          <t>Sonstiges</t>
        </is>
      </c>
      <c r="D75" s="67" t="n"/>
      <c r="E75" s="68" t="n"/>
      <c r="F75" s="69" t="n"/>
      <c r="G75" s="70" t="n">
        <v>0</v>
      </c>
      <c r="H75" s="16" t="n"/>
      <c r="I75" s="16" t="n"/>
    </row>
    <row r="76" hidden="1" ht="39.95" customHeight="1" s="12" thickBot="1">
      <c r="A76" s="38" t="n"/>
      <c r="B76" s="39" t="n"/>
      <c r="C76" s="40" t="inlineStr">
        <is>
          <t>Bezeichnung der Ausgabe</t>
        </is>
      </c>
      <c r="D76" s="40" t="inlineStr">
        <is>
          <t>Beschreibung 
der Ausgabe</t>
        </is>
      </c>
      <c r="E76" s="40" t="inlineStr">
        <is>
          <t>Anzahl</t>
        </is>
      </c>
      <c r="F76" s="118" t="inlineStr">
        <is>
          <t>VZÄ</t>
        </is>
      </c>
      <c r="G76" s="41" t="inlineStr">
        <is>
          <t>Gesamt</t>
        </is>
      </c>
      <c r="H76" s="16" t="n"/>
      <c r="I76" s="133" t="inlineStr">
        <is>
          <t>Hinweise zur Darstellung der geeigneten Optionen</t>
        </is>
      </c>
    </row>
    <row r="77" hidden="1" ht="35.1" customHeight="1" s="12">
      <c r="A77" s="42" t="inlineStr">
        <is>
          <t>Option</t>
        </is>
      </c>
      <c r="B77" s="51" t="inlineStr">
        <is>
          <t>Ausgaben für 
Bw-Personal</t>
        </is>
      </c>
      <c r="C77" s="44" t="inlineStr">
        <is>
          <t>Tagegeld</t>
        </is>
      </c>
      <c r="D77" s="74" t="n">
        <v>0</v>
      </c>
      <c r="E77" s="75" t="n">
        <v>0</v>
      </c>
      <c r="F77" s="76" t="n">
        <v>0</v>
      </c>
      <c r="G77" s="48">
        <f>IF(AND(D77=0,E77=0),F77,IF(OR(D77="",D77=0),E77*F77,IF(OR(E77="",E77=0),D77*F77,D77*E77*F77)))*-1</f>
        <v/>
      </c>
      <c r="H77" s="16" t="n"/>
      <c r="I77" s="135" t="n"/>
    </row>
    <row r="78" hidden="1" collapsed="1" ht="39.95" customHeight="1" s="12">
      <c r="A78" s="49" t="n"/>
      <c r="B78" s="255" t="n"/>
      <c r="C78" s="139" t="inlineStr">
        <is>
          <t>Bei Bedarf bitte auswählen</t>
        </is>
      </c>
      <c r="D78" s="130" t="inlineStr">
        <is>
          <t>Bei Bedarf bitte auswählen</t>
        </is>
      </c>
      <c r="E78" s="125" t="n">
        <v>0</v>
      </c>
      <c r="F78" s="127" t="n">
        <v>0</v>
      </c>
      <c r="G78" s="120">
        <f>IF(C78="Bei Bedarf bitte auswählen",0,IF(D78="Bei Bedarf bitte auswählen",0,IF(E78=0,0,IF(F78=0,0,(VLOOKUP(D78,Hilfstabelle!$A$44:$B$140,2,FALSE)*E78*F78*-1)/O78*P78*Q78))))</f>
        <v/>
      </c>
      <c r="H78" s="16" t="n"/>
      <c r="I78" s="135" t="n"/>
      <c r="O78">
        <f>IF(C78="Personalnormkosten Arbeitnehmer",196.75,IF(C78="Personalnormkosten Beamte",195.5,IF(C78="Personalnormkosten Soldaten",208.18,"")))</f>
        <v/>
      </c>
      <c r="P78">
        <f>(($F$6-$D$6)+1)</f>
        <v/>
      </c>
      <c r="Q78">
        <f>O78/365</f>
        <v/>
      </c>
    </row>
    <row r="79" hidden="1" ht="39.95" customHeight="1" s="12">
      <c r="A79" s="50" t="n"/>
      <c r="B79" s="255" t="n"/>
      <c r="C79" s="140" t="inlineStr">
        <is>
          <t>Bei Bedarf bitte auswählen</t>
        </is>
      </c>
      <c r="D79" s="131" t="inlineStr">
        <is>
          <t>Bei Bedarf bitte auswählen</t>
        </is>
      </c>
      <c r="E79" s="124" t="n">
        <v>0</v>
      </c>
      <c r="F79" s="128" t="n">
        <v>0</v>
      </c>
      <c r="G79" s="120">
        <f>IF(C79="Bei Bedarf bitte auswählen",0,IF(D79="Bei Bedarf bitte auswählen",0,IF(E79=0,0,IF(F79=0,0,(VLOOKUP(D79,Hilfstabelle!$A$44:$B$140,2,FALSE)*E79*F79*-1)/O79*P79*Q79))))</f>
        <v/>
      </c>
      <c r="H79" s="16" t="n"/>
      <c r="I79" s="16" t="n"/>
      <c r="O79">
        <f>IF(C79="Personalnormkosten Arbeitnehmer",196.75,IF(C79="Personalnormkosten Beamte",195.5,IF(C79="Personalnormkosten Soldaten",208.18,"")))</f>
        <v/>
      </c>
      <c r="P79">
        <f>(($F$6-$D$6)+1)</f>
        <v/>
      </c>
      <c r="Q79">
        <f>O79/365</f>
        <v/>
      </c>
    </row>
    <row r="80" hidden="1" ht="39.95" customHeight="1" s="12" thickBot="1">
      <c r="A80" s="157" t="inlineStr">
        <is>
          <t>Option</t>
        </is>
      </c>
      <c r="B80" s="241" t="n"/>
      <c r="C80" s="141" t="inlineStr">
        <is>
          <t>Bei Bedarf bitte auswählen</t>
        </is>
      </c>
      <c r="D80" s="132" t="inlineStr">
        <is>
          <t>Bei Bedarf bitte auswählen</t>
        </is>
      </c>
      <c r="E80" s="126" t="n">
        <v>0</v>
      </c>
      <c r="F80" s="129" t="n">
        <v>0</v>
      </c>
      <c r="G80" s="120">
        <f>IF(C80="Bei Bedarf bitte auswählen",0,IF(D80="Bei Bedarf bitte auswählen",0,IF(E80=0,0,IF(F80=0,0,(VLOOKUP(D80,Hilfstabelle!$A$44:$B$140,2,FALSE)*E80*F80*-1)/O80*P80*Q80))))</f>
        <v/>
      </c>
      <c r="H80" s="16" t="n"/>
      <c r="I80" s="16" t="n"/>
      <c r="O80">
        <f>IF(C80="Personalnormkosten Arbeitnehmer",196.75,IF(C80="Personalnormkosten Beamte",195.5,IF(C80="Personalnormkosten Soldaten",208.18,"")))</f>
        <v/>
      </c>
      <c r="P80">
        <f>(($F$6-$D$6)+1)</f>
        <v/>
      </c>
      <c r="Q80">
        <f>O80/365</f>
        <v/>
      </c>
    </row>
    <row r="81" hidden="1" ht="39.95" customHeight="1" s="12" thickBot="1">
      <c r="A81" s="158">
        <f>IF(B26="","",B26)</f>
        <v/>
      </c>
      <c r="B81" s="51" t="inlineStr">
        <is>
          <t>Ausgaben für 
Bw-Material</t>
        </is>
      </c>
      <c r="C81" s="144" t="inlineStr">
        <is>
          <t>Sonstiges</t>
        </is>
      </c>
      <c r="D81" s="52" t="n"/>
      <c r="E81" s="53" t="n"/>
      <c r="F81" s="54" t="n"/>
      <c r="G81" s="55" t="n">
        <v>0</v>
      </c>
      <c r="H81" s="16" t="n"/>
      <c r="I81" s="135" t="n"/>
    </row>
    <row r="82" hidden="1" ht="39.95" customHeight="1" s="12" thickBot="1">
      <c r="A82" s="168" t="n"/>
      <c r="B82" s="173" t="inlineStr">
        <is>
          <t>Ausgaben für 
Bw-Infrastruktur</t>
        </is>
      </c>
      <c r="C82" s="144" t="inlineStr">
        <is>
          <t>Sonstiges</t>
        </is>
      </c>
      <c r="D82" s="52" t="n"/>
      <c r="E82" s="53" t="n"/>
      <c r="F82" s="54" t="n"/>
      <c r="G82" s="58" t="n">
        <v>0</v>
      </c>
      <c r="H82" s="16" t="n"/>
      <c r="I82" s="16" t="n"/>
    </row>
    <row r="83" hidden="1" ht="39.95" customHeight="1" s="12" thickBot="1">
      <c r="A83" s="254" t="n"/>
      <c r="B83" s="59" t="n"/>
      <c r="C83" s="146" t="inlineStr">
        <is>
          <t>Unterbringung seitens Bw verfügbar 
(unentgetlich)</t>
        </is>
      </c>
      <c r="D83" s="77" t="n"/>
      <c r="E83" s="62" t="n"/>
      <c r="F83" s="171" t="n"/>
      <c r="G83" s="73" t="n">
        <v>0</v>
      </c>
      <c r="H83" s="16" t="n"/>
      <c r="I83" s="16" t="n"/>
    </row>
    <row r="84" hidden="1" ht="39.95" customHeight="1" s="12" thickBot="1">
      <c r="A84" s="169" t="inlineStr">
        <is>
          <t>Leistungserbringung durch die eigene Dienststelle</t>
        </is>
      </c>
      <c r="B84" s="51" t="inlineStr">
        <is>
          <t>Ausgaben für sonstige Dienst-leistungen</t>
        </is>
      </c>
      <c r="C84" s="144" t="inlineStr">
        <is>
          <t>externe
Dienstleistung</t>
        </is>
      </c>
      <c r="D84" s="65" t="inlineStr">
        <is>
          <t>Externe Dienstleistung</t>
        </is>
      </c>
      <c r="E84" s="53" t="n"/>
      <c r="F84" s="53" t="n"/>
      <c r="G84" s="55" t="n">
        <v>-145728</v>
      </c>
      <c r="H84" s="16" t="n"/>
      <c r="I84" s="16" t="n"/>
    </row>
    <row r="85" hidden="1" ht="39.95" customHeight="1" s="12" thickBot="1">
      <c r="A85" s="254" t="n"/>
      <c r="B85" s="255" t="n"/>
      <c r="C85" s="144" t="inlineStr">
        <is>
          <t>externe 
Prüfung</t>
        </is>
      </c>
      <c r="D85" s="65" t="n"/>
      <c r="E85" s="53" t="n"/>
      <c r="F85" s="53" t="n"/>
      <c r="G85" s="55" t="n">
        <v>0</v>
      </c>
      <c r="H85" s="16" t="n"/>
      <c r="I85" s="16" t="n"/>
    </row>
    <row r="86" hidden="1" ht="39.95" customHeight="1" s="12" thickBot="1">
      <c r="A86" s="254" t="n"/>
      <c r="B86" s="255" t="n"/>
      <c r="C86" s="144" t="inlineStr">
        <is>
          <t>externe 
Wartung</t>
        </is>
      </c>
      <c r="D86" s="65" t="n"/>
      <c r="E86" s="53" t="n"/>
      <c r="F86" s="53" t="n"/>
      <c r="G86" s="55" t="n">
        <v>0</v>
      </c>
      <c r="H86" s="16" t="n"/>
      <c r="I86" s="16" t="n"/>
    </row>
    <row r="87" hidden="1" ht="39.95" customHeight="1" s="12" thickBot="1">
      <c r="A87" s="254" t="n"/>
      <c r="B87" s="255" t="n"/>
      <c r="C87" s="145" t="inlineStr">
        <is>
          <t>externe 
Lizenzen</t>
        </is>
      </c>
      <c r="D87" s="65" t="n"/>
      <c r="E87" s="53" t="n"/>
      <c r="F87" s="53" t="n"/>
      <c r="G87" s="55" t="n">
        <v>0</v>
      </c>
      <c r="H87" s="16" t="n"/>
      <c r="I87" s="16" t="n"/>
    </row>
    <row r="88" hidden="1" ht="39.95" customHeight="1" s="12" thickBot="1">
      <c r="A88" s="256" t="n"/>
      <c r="B88" s="241" t="n"/>
      <c r="C88" s="144" t="inlineStr">
        <is>
          <t>Sonstiges</t>
        </is>
      </c>
      <c r="D88" s="67" t="n"/>
      <c r="E88" s="68" t="n"/>
      <c r="F88" s="69" t="n"/>
      <c r="G88" s="70" t="n">
        <v>0</v>
      </c>
      <c r="H88" s="16" t="n"/>
      <c r="I88" s="16" t="n"/>
    </row>
    <row r="89" ht="20.1" customHeight="1" s="12" thickBot="1">
      <c r="A89" s="242" t="inlineStr">
        <is>
          <t>4. Berechnung der Optionen (ohne Risiko)</t>
        </is>
      </c>
      <c r="B89" s="236" t="n"/>
      <c r="C89" s="236" t="n"/>
      <c r="D89" s="236" t="n"/>
      <c r="E89" s="236" t="n"/>
      <c r="F89" s="236" t="n"/>
      <c r="G89" s="237" t="n"/>
      <c r="H89" s="16" t="n"/>
      <c r="I89" s="16" t="n"/>
    </row>
    <row r="90" hidden="1" ht="15" customHeight="1" s="12" thickBot="1">
      <c r="A90" s="257" t="inlineStr">
        <is>
          <t>Option</t>
        </is>
      </c>
      <c r="B90" s="236" t="n"/>
      <c r="C90" s="237" t="n"/>
      <c r="D90" s="66">
        <f>IF(B$23="","",B$23)</f>
        <v/>
      </c>
      <c r="E90" s="66">
        <f>IF(B24="","",B24)</f>
        <v/>
      </c>
      <c r="F90" s="66">
        <f>IF(B25="","",B25)</f>
        <v/>
      </c>
      <c r="G90" s="78">
        <f>IF(B26="","",B26)</f>
        <v/>
      </c>
      <c r="H90" s="16" t="n"/>
      <c r="I90" s="16" t="n"/>
    </row>
    <row r="91" hidden="1" ht="24" customHeight="1" s="12">
      <c r="A91" s="79" t="n"/>
      <c r="B91" s="80" t="n"/>
      <c r="C91" s="81" t="inlineStr">
        <is>
          <t>Tagegeld</t>
        </is>
      </c>
      <c r="D91" s="82">
        <f>IF(G38&lt;0,G38,"")</f>
        <v/>
      </c>
      <c r="E91" s="82">
        <f>IF(G51&lt;0,G51,"")</f>
        <v/>
      </c>
      <c r="F91" s="82">
        <f>IF(G64&lt;0,G64,"")</f>
        <v/>
      </c>
      <c r="G91" s="83">
        <f>IF(G77&lt;0,G77,"")</f>
        <v/>
      </c>
      <c r="H91" s="16" t="n"/>
      <c r="I91" s="16" t="n"/>
    </row>
    <row r="92" hidden="1" ht="24" customHeight="1" s="12">
      <c r="A92" s="84" t="n"/>
      <c r="B92" s="85" t="n"/>
      <c r="C92" s="86" t="inlineStr">
        <is>
          <t>Transport</t>
        </is>
      </c>
      <c r="D92" s="87">
        <f>IF(G39&lt;0,G39,"")</f>
        <v/>
      </c>
      <c r="E92" s="87">
        <f>IF(G52&lt;0,G52,"")</f>
        <v/>
      </c>
      <c r="F92" s="88">
        <f>IF(G65&lt;0,G65,"")</f>
        <v/>
      </c>
      <c r="G92" s="89">
        <f>IF(G78&lt;0,G78,"")</f>
        <v/>
      </c>
      <c r="H92" s="16" t="n"/>
      <c r="I92" s="16" t="n"/>
    </row>
    <row r="93" hidden="1" ht="24" customHeight="1" s="12" thickBot="1">
      <c r="A93" s="84" t="n"/>
      <c r="B93" s="85" t="n"/>
      <c r="C93" s="90" t="inlineStr">
        <is>
          <t>externe 
Unterbringung</t>
        </is>
      </c>
      <c r="D93" s="91">
        <f>IF(G40&lt;0,G40,"")</f>
        <v/>
      </c>
      <c r="E93" s="91">
        <f>IF(G53&lt;0,G53,"")</f>
        <v/>
      </c>
      <c r="F93" s="92">
        <f>IF(G66&lt;0,G66,"")</f>
        <v/>
      </c>
      <c r="G93" s="93">
        <f>IF(G79&lt;0,G79,"")</f>
        <v/>
      </c>
      <c r="H93" s="16" t="n"/>
      <c r="I93" s="16" t="n"/>
    </row>
    <row r="94" hidden="1" ht="35.1" customHeight="1" s="12" thickBot="1">
      <c r="A94" s="94" t="inlineStr">
        <is>
          <t>Ausgaben für 
Bw-Personal</t>
        </is>
      </c>
      <c r="B94" s="18" t="n"/>
      <c r="C94" s="95" t="inlineStr">
        <is>
          <t>Personalnorm-kosten</t>
        </is>
      </c>
      <c r="D94" s="96">
        <f>IF(SUM(G39:G41)=0,"",IF(SUM(G39:G41)="","",(G39+G40+G41)))</f>
        <v/>
      </c>
      <c r="E94" s="96">
        <f>IF(SUM(G52:G54)=0,"",IF(SUM(G52:G54)="","",(G52+G53+G54)))</f>
        <v/>
      </c>
      <c r="F94" s="96">
        <f>IF(SUM(G65:G67)=0,"",IF(SUM(G65:G67)="","",(G65+G66+G67)))</f>
        <v/>
      </c>
      <c r="G94" s="96">
        <f>IF(SUM(G78:G80)=0,"",IF(SUM(G78:G80)="","",(G78+G79+G80)))</f>
        <v/>
      </c>
      <c r="H94" s="16" t="n"/>
      <c r="I94" s="16" t="n"/>
    </row>
    <row r="95" hidden="1" ht="35.1" customHeight="1" s="12" thickBot="1">
      <c r="A95" s="94" t="inlineStr">
        <is>
          <t>Ausgaben für 
Bw-Material</t>
        </is>
      </c>
      <c r="B95" s="18" t="n"/>
      <c r="C95" s="149" t="inlineStr">
        <is>
          <t>Sonstiges</t>
        </is>
      </c>
      <c r="D95" s="97">
        <f>IF(G42=0,"",IF(G42="","",IF(G42&gt;0,G42*-1,G42)))</f>
        <v/>
      </c>
      <c r="E95" s="97">
        <f>IF(G55=0,"",IF(G55="","",IF(G55&gt;0,G55*-1,G55)))</f>
        <v/>
      </c>
      <c r="F95" s="97">
        <f>IF(G68=0,"",IF(G68="","",IF(G68&gt;0,G68*-1,G68)))</f>
        <v/>
      </c>
      <c r="G95" s="97">
        <f>IF(G81=0,"",IF(G81="","",IF(G81&gt;0,G81*-1,G81)))</f>
        <v/>
      </c>
      <c r="H95" s="16" t="n"/>
      <c r="I95" s="16" t="n"/>
    </row>
    <row r="96" hidden="1" ht="35.1" customHeight="1" s="12" thickBot="1">
      <c r="A96" s="94" t="inlineStr">
        <is>
          <t>Ausgaben für 
Bw-Infrastruktur</t>
        </is>
      </c>
      <c r="B96" s="18" t="n"/>
      <c r="C96" s="149" t="inlineStr">
        <is>
          <t>Sonstiges</t>
        </is>
      </c>
      <c r="D96" s="97">
        <f>IF(G43=0,"",IF(G43="","",IF(G43&gt;0,G43*-1,G43)))</f>
        <v/>
      </c>
      <c r="E96" s="97">
        <f>IF(G56=0,"",IF(G56="","",IF(G56&gt;0,G56*-1,G56)))</f>
        <v/>
      </c>
      <c r="F96" s="97">
        <f>IF(G69=0,"",IF(G69="","",IF(G69&gt;0,G69*-1,G69)))</f>
        <v/>
      </c>
      <c r="G96" s="97">
        <f>IF(G82=0,"",IF(G82="","",IF(G82&gt;0,G82*-1,G82)))</f>
        <v/>
      </c>
      <c r="H96" s="16" t="n"/>
      <c r="I96" s="16" t="n"/>
    </row>
    <row r="97" hidden="1" ht="35.1" customHeight="1" s="12" thickBot="1">
      <c r="A97" s="98" t="n"/>
      <c r="B97" s="99" t="n"/>
      <c r="C97" s="149" t="inlineStr">
        <is>
          <t>interne
Unterbringung</t>
        </is>
      </c>
      <c r="D97" s="97">
        <f>IF(G44=0,"",IF(G44="","",IF(G44&gt;0,G44*-1,G44)))</f>
        <v/>
      </c>
      <c r="E97" s="92">
        <f>IF(G57=0,"",IF(G57="","",IF(G57&gt;0,G57*-1,G57)))</f>
        <v/>
      </c>
      <c r="F97" s="92">
        <f>IF(G70=0,"",IF(G70="","",IF(G70&gt;0,G70*-1,G70)))</f>
        <v/>
      </c>
      <c r="G97" s="92">
        <f>IF(G83=0,"",IF(G83="","",IF(G83&gt;0,G83*-1,G83)))</f>
        <v/>
      </c>
      <c r="H97" s="16" t="n"/>
      <c r="I97" s="16" t="n"/>
    </row>
    <row r="98" hidden="1" ht="35.1" customHeight="1" s="12">
      <c r="A98" s="258" t="inlineStr">
        <is>
          <t>Ausgaben für 
sonstige Dienstleistungen</t>
        </is>
      </c>
      <c r="B98" s="259" t="n"/>
      <c r="C98" s="139" t="inlineStr">
        <is>
          <t>externe
Dienstleistung</t>
        </is>
      </c>
      <c r="D98" s="100">
        <f>IF(G45=0,"",IF(G45="","",IF(G45&gt;0,G45*-1,G45)))</f>
        <v/>
      </c>
      <c r="E98" s="100">
        <f>IF(G58=0,"",IF(G58="","",IF(G58&gt;0,G58*-1,G58)))</f>
        <v/>
      </c>
      <c r="F98" s="100">
        <f>IF(G71=0,"",IF(G71="","",IF(G71&gt;0,G71*-1,G71)))</f>
        <v/>
      </c>
      <c r="G98" s="100">
        <f>IF(G84=0,"",IF(G84="","",IF(G84&gt;0,G84*-1,G84)))</f>
        <v/>
      </c>
      <c r="H98" s="16" t="n"/>
      <c r="I98" s="16" t="n"/>
    </row>
    <row r="99" hidden="1" ht="35.1" customHeight="1" s="12">
      <c r="A99" s="260" t="n"/>
      <c r="B99" s="261" t="n"/>
      <c r="C99" s="150" t="inlineStr">
        <is>
          <t>externe 
Prüfung</t>
        </is>
      </c>
      <c r="D99" s="101">
        <f>IF(G46=0,"",IF(G46="","",IF(G46&gt;0,G46*-1,G46)))</f>
        <v/>
      </c>
      <c r="E99" s="101">
        <f>IF(G59=0,"",IF(G59="","",IF(G59&gt;0,G59*-1,G59)))</f>
        <v/>
      </c>
      <c r="F99" s="101">
        <f>IF(G72=0,"",IF(G72="","",IF(G72&gt;0,G72*-1,G72)))</f>
        <v/>
      </c>
      <c r="G99" s="101">
        <f>IF(G85=0,"",IF(G85="","",IF(G85&gt;0,G85*-1,G85)))</f>
        <v/>
      </c>
      <c r="H99" s="16" t="n"/>
      <c r="I99" s="16" t="n"/>
    </row>
    <row r="100" hidden="1" ht="35.1" customHeight="1" s="12">
      <c r="A100" s="260" t="n"/>
      <c r="B100" s="261" t="n"/>
      <c r="C100" s="150" t="inlineStr">
        <is>
          <t>externe 
Wartung</t>
        </is>
      </c>
      <c r="D100" s="101">
        <f>IF(G47=0,"",IF(G47="","",IF(G47&gt;0,G47*-1,G47)))</f>
        <v/>
      </c>
      <c r="E100" s="101">
        <f>IF(G60=0,"",IF(G60="","",IF(G60&gt;0,G60*-1,G60)))</f>
        <v/>
      </c>
      <c r="F100" s="101">
        <f>IF(G73=0,"",IF(G73="","",IF(G73&gt;0,G73*-1,G73)))</f>
        <v/>
      </c>
      <c r="G100" s="101">
        <f>IF(G86=0,"",IF(G86="","",IF(G86&gt;0,G86*-1,G86)))</f>
        <v/>
      </c>
      <c r="H100" s="16" t="n"/>
      <c r="I100" s="16" t="n"/>
    </row>
    <row r="101" hidden="1" ht="35.1" customHeight="1" s="12">
      <c r="A101" s="260" t="n"/>
      <c r="B101" s="261" t="n"/>
      <c r="C101" s="151" t="inlineStr">
        <is>
          <t>externe 
Lizenzen</t>
        </is>
      </c>
      <c r="D101" s="101">
        <f>IF(G48=0,"",IF(G48="","",IF(G48&gt;0,G48*-1,G48)))</f>
        <v/>
      </c>
      <c r="E101" s="101">
        <f>IF(G61=0,"",IF(G61="","",IF(G61&gt;0,G61*-1,G61)))</f>
        <v/>
      </c>
      <c r="F101" s="101">
        <f>IF(G74=0,"",IF(G74="","",IF(G74&gt;0,G74*-1,G74)))</f>
        <v/>
      </c>
      <c r="G101" s="101">
        <f>IF(G87=0,"",IF(G87="","",IF(G87&gt;0,G87*-1,G87)))</f>
        <v/>
      </c>
      <c r="H101" s="16" t="n"/>
      <c r="I101" s="16" t="n"/>
    </row>
    <row r="102" hidden="1" ht="35.1" customHeight="1" s="12" thickBot="1">
      <c r="A102" s="262" t="n"/>
      <c r="B102" s="244" t="n"/>
      <c r="C102" s="149" t="inlineStr">
        <is>
          <t>Sonstiges</t>
        </is>
      </c>
      <c r="D102" s="102">
        <f>IF(G49=0,"",IF(G49="","",IF(G49&gt;0,G49*-1,G49)))</f>
        <v/>
      </c>
      <c r="E102" s="102">
        <f>IF(G62=0,"",IF(G62="","",IF(G62&gt;0,G62*-1,G62)))</f>
        <v/>
      </c>
      <c r="F102" s="102">
        <f>IF(G75=0,"",IF(G75="","",IF(G75&gt;0,G75*-1,G75)))</f>
        <v/>
      </c>
      <c r="G102" s="102">
        <f>IF(G88=0,"",IF(G88="","",IF(G88&gt;0,G88*-1,G88)))</f>
        <v/>
      </c>
      <c r="H102" s="16" t="n"/>
      <c r="I102" s="16" t="n"/>
    </row>
    <row r="103" hidden="1" ht="15.75" customHeight="1" s="12" thickBot="1">
      <c r="A103" s="216" t="inlineStr">
        <is>
          <t>Gesamtsumme (ohne Risiko)</t>
        </is>
      </c>
      <c r="B103" s="263" t="n"/>
      <c r="C103" s="263" t="n"/>
      <c r="D103" s="103">
        <f>IF(SUM(D94:D102)&lt;0,SUM(D94:D102),"")</f>
        <v/>
      </c>
      <c r="E103" s="103">
        <f>IF(SUM(E94:E102)&lt;0,SUM(E94:E102),"")</f>
        <v/>
      </c>
      <c r="F103" s="103">
        <f>IF(SUM(F94:F102)&lt;0,SUM(F94:F102),"")</f>
        <v/>
      </c>
      <c r="G103" s="103">
        <f>IF(SUM(G94:G102)&lt;0,SUM(G94:G102),"")</f>
        <v/>
      </c>
      <c r="H103" s="16" t="n"/>
      <c r="I103" s="16" t="n"/>
    </row>
    <row r="104" ht="20.1" customHeight="1" s="12" thickBot="1">
      <c r="A104" s="242" t="inlineStr">
        <is>
          <t>5. Risikoberücksichtigung</t>
        </is>
      </c>
      <c r="B104" s="236" t="n"/>
      <c r="C104" s="236" t="n"/>
      <c r="D104" s="236" t="n"/>
      <c r="E104" s="236" t="n"/>
      <c r="F104" s="236" t="n"/>
      <c r="G104" s="237" t="n"/>
      <c r="H104" s="16" t="n"/>
      <c r="I104" s="16" t="n"/>
    </row>
    <row r="105" hidden="1" ht="42.75" customHeight="1" s="12" thickBot="1">
      <c r="A105" s="104" t="n"/>
      <c r="B105" s="226" t="inlineStr">
        <is>
          <t>Kein Risiko berücksichtigt</t>
        </is>
      </c>
      <c r="C105" s="236" t="n"/>
      <c r="D105" s="236" t="n"/>
      <c r="E105" s="237" t="n"/>
      <c r="F105" s="66" t="inlineStr">
        <is>
          <t>Schadenshöhe</t>
        </is>
      </c>
      <c r="G105" s="41" t="inlineStr">
        <is>
          <t>Eintritts-wahrschein-lichkeit</t>
        </is>
      </c>
      <c r="H105" s="16" t="n"/>
      <c r="I105" s="133" t="inlineStr">
        <is>
          <t>Hinweise zur Riskobetrachtung</t>
        </is>
      </c>
    </row>
    <row r="106" hidden="1" ht="52.5" customHeight="1" s="12" thickBot="1">
      <c r="A106" s="264" t="inlineStr">
        <is>
          <t>Option/-en:
Es kann zum Ausfall des Leistungserbringers kommen. 
Dadurch würden folgende Ausgaben entstehen:</t>
        </is>
      </c>
      <c r="B106" s="236" t="n"/>
      <c r="C106" s="236" t="n"/>
      <c r="D106" s="236" t="n"/>
      <c r="E106" s="237" t="n"/>
      <c r="F106" s="105" t="n">
        <v>10000</v>
      </c>
      <c r="G106" s="106" t="n">
        <v>0.05</v>
      </c>
      <c r="H106" s="16" t="n"/>
      <c r="I106" s="136" t="n"/>
    </row>
    <row r="107" hidden="1" ht="52.5" customHeight="1" s="12" thickBot="1">
      <c r="A107" s="264" t="inlineStr">
        <is>
          <t>Option/-en:
Es kann zum Ausfall der Leistungserbringung kommen. 
Dadurch würden folgende Ausgaben entstehen:</t>
        </is>
      </c>
      <c r="B107" s="236" t="n"/>
      <c r="C107" s="236" t="n"/>
      <c r="D107" s="236" t="n"/>
      <c r="E107" s="237" t="n"/>
      <c r="F107" s="105" t="n">
        <v>3000</v>
      </c>
      <c r="G107" s="106" t="n">
        <v>0.15</v>
      </c>
      <c r="H107" s="16" t="n"/>
      <c r="I107" s="16" t="n"/>
    </row>
    <row r="108" ht="20.1" customHeight="1" s="12" thickBot="1">
      <c r="A108" s="242" t="inlineStr">
        <is>
          <t>6. Berechnung der Optionen (mit Risiko)</t>
        </is>
      </c>
      <c r="B108" s="236" t="n"/>
      <c r="C108" s="236" t="n"/>
      <c r="D108" s="236" t="n"/>
      <c r="E108" s="236" t="n"/>
      <c r="F108" s="236" t="n"/>
      <c r="G108" s="237" t="n"/>
      <c r="H108" s="16" t="n"/>
      <c r="I108" s="16" t="n"/>
    </row>
    <row r="109" hidden="1" ht="15.75" customHeight="1" s="12" thickBot="1">
      <c r="A109" s="216" t="inlineStr">
        <is>
          <t>Gesamtsumme ohne Risiko (Vgl. 4.)</t>
        </is>
      </c>
      <c r="B109" s="263" t="n"/>
      <c r="C109" s="263" t="n"/>
      <c r="D109" s="103">
        <f>D103</f>
        <v/>
      </c>
      <c r="E109" s="103">
        <f>E103</f>
        <v/>
      </c>
      <c r="F109" s="103">
        <f>F103</f>
        <v/>
      </c>
      <c r="G109" s="103">
        <f>G103</f>
        <v/>
      </c>
      <c r="H109" s="16" t="n"/>
      <c r="I109" s="16" t="n"/>
    </row>
    <row r="110" hidden="1" ht="24" customHeight="1" s="12" thickBot="1">
      <c r="A110" s="31" t="inlineStr">
        <is>
          <t>Berücksichtigung
Risiken</t>
        </is>
      </c>
      <c r="B110" s="265" t="n"/>
      <c r="C110" s="107" t="inlineStr">
        <is>
          <t>Risiko 1</t>
        </is>
      </c>
      <c r="D110" s="110">
        <f>IF($D$109="","",IF(AND(L106="",$F$106=0,$G$106=0),"",IF(AND($F$106=0,$G$106=0),"",IF(AND(L106="wahr",$F$106&gt;0),($F$106*$G$106)*-1,IF(AND(L106="wahr",$F$106&lt;0),$F$106*$G$106,"")))))</f>
        <v/>
      </c>
      <c r="E110" s="110">
        <f>IF($E$109="","",IF(AND(M106="",$F$106=0,$G$106=0),"",IF(AND($F$106=0,$G$106=0),"",IF(AND(M106="wahr",$F$106&gt;0),($F$106*$G$106)*-1,IF(AND(M106="wahr",$F$106&lt;0),$F$106*$G$106,"")))))</f>
        <v/>
      </c>
      <c r="F110" s="110">
        <f>IF($F$109="","",IF(AND(J106="",$F$106=0,$G$107=0),"",IF(AND($F$106=0,$G$106=0),"",IF(AND(J106="wahr",$F$106&gt;0),($F$106*$G$106)*-1,IF(AND(J106="wahr",$F$106&lt;0),$F$106*$G$106,"")))))</f>
        <v/>
      </c>
      <c r="G110" s="108">
        <f>IF($G$109="","",IF(AND(K106="",$F$106=0,$G$106=0),"",IF(AND($F$106=0,$G$106=0),"",IF(AND(K106="wahr",$F$106&gt;0),($F$106*$G$106)*-1,IF(AND(K106="wahr",$F$106&lt;0),$F$106*$G$106,"")))))</f>
        <v/>
      </c>
      <c r="H110" s="16" t="n"/>
      <c r="I110" s="16" t="n"/>
    </row>
    <row r="111" hidden="1" ht="24" customHeight="1" s="12" thickBot="1">
      <c r="A111" s="262" t="n"/>
      <c r="B111" s="245" t="n"/>
      <c r="C111" s="109" t="inlineStr">
        <is>
          <t>Risiko 2</t>
        </is>
      </c>
      <c r="D111" s="110">
        <f>IF($D$109="","",IF(AND(L107="",$F$107=0,$G$107=0),"",IF(AND($F$107=0,$G$107=0),"",IF(AND(L107="wahr",$F$107&gt;0),($F$107*$G$107)*-1,IF(AND(L107="wahr",$F$107&lt;0),$F$107*$G$107,"")))))</f>
        <v/>
      </c>
      <c r="E111" s="110">
        <f>IF($E$109="","",IF(AND(M107="",$F$107=0,$G$107=0),"",IF(AND($F$107=0,$G$107=0),"",IF(AND(M107="wahr",$F$107&gt;0),($F$107*$G$107)*-1,IF(AND(M107="wahr",$F$107&lt;0),$F$107*$G$107,"")))))</f>
        <v/>
      </c>
      <c r="F111" s="110">
        <f>IF($F$109="","",IF(AND(J107="",$F$107=0,$G$107=0),"",IF(AND($F$107=0,$G$107=0),"",IF(AND(J107="wahr",$F$107&gt;0),($F$107*$G$107)*-1,IF(AND(J107="wahr",$F$107&lt;0),$F$107*$G$107,"")))))</f>
        <v/>
      </c>
      <c r="G111" s="108">
        <f>IF($G$109="","",IF(AND(K107="",$F$107=0,$G$107=0),"",IF(AND($F$107=0,$G$107=0),"",IF(AND(K107="wahr",$F$107&gt;0),($F$107*$G$107)*-1,IF(AND(K107="wahr",$F$107&lt;0),$F$107*$G$107,"")))))</f>
        <v/>
      </c>
      <c r="H111" s="16" t="n"/>
      <c r="I111" s="16" t="n"/>
    </row>
    <row r="112" hidden="1" ht="15.75" customHeight="1" s="12" thickBot="1">
      <c r="A112" s="216" t="inlineStr">
        <is>
          <t>Gesamtsumme mit Risiko</t>
        </is>
      </c>
      <c r="B112" s="263" t="n"/>
      <c r="C112" s="263" t="n"/>
      <c r="D112" s="111">
        <f>IF(D109="","",SUM(D109:D111))</f>
        <v/>
      </c>
      <c r="E112" s="111">
        <f>IF(E109="","",SUM(E109:E111))</f>
        <v/>
      </c>
      <c r="F112" s="111">
        <f>IF(F109="","",SUM(F109:F111))</f>
        <v/>
      </c>
      <c r="G112" s="111">
        <f>IF(G109="","",SUM(G109:G111))</f>
        <v/>
      </c>
      <c r="H112" s="16" t="n"/>
      <c r="I112" s="16" t="n"/>
    </row>
    <row r="113" ht="20.1" customHeight="1" s="12" thickBot="1">
      <c r="A113" s="242" t="inlineStr">
        <is>
          <t>7. Entscheidungsvorschlag</t>
        </is>
      </c>
      <c r="B113" s="236" t="n"/>
      <c r="C113" s="236" t="n"/>
      <c r="D113" s="236" t="n"/>
      <c r="E113" s="236" t="n"/>
      <c r="F113" s="236" t="n"/>
      <c r="G113" s="237" t="n"/>
      <c r="H113" s="16" t="n"/>
      <c r="I113" s="16" t="n"/>
    </row>
    <row r="114" hidden="1" ht="48" customHeight="1" s="12" thickBot="1">
      <c r="A114" s="266" t="inlineStr">
        <is>
          <t>Die wirtschaftlichste Option, die den Bedarf deckt, die Rahmenbedingungen erfüllt und deren Einleitung zur Vergabe empfohlen wird, ist:
(und beinhaltet Ausgaben inklusive Risikowert)</t>
        </is>
      </c>
      <c r="B114" s="236" t="n"/>
      <c r="C114" s="236" t="n"/>
      <c r="D114" s="236" t="n"/>
      <c r="E114" s="237" t="n"/>
      <c r="F114" s="267">
        <f>IF(G114=0,"",IF(G114="","",IF(H1=D112,D90,IF(H1=E112,E90,IF(H1=F112,F90,IF(H1=G112,G90,""))))))</f>
        <v/>
      </c>
      <c r="G114" s="113">
        <f>IF(AND(D112="",E112="",F112="",G112="",D103="",E103="",F103="",G103=""),"",IF(AND(D112="",E112="",F112="",G112=""),IF(MIN(D103:G103)&lt;0,MAX(D103:G103),""),IF(MIN(D112:G112)&lt;0,MAX(D112:G112),"")))</f>
        <v/>
      </c>
      <c r="H114" s="16" t="n"/>
      <c r="I114" s="16" t="n"/>
    </row>
    <row r="115" hidden="1" ht="23.25" customHeight="1" s="12" thickBot="1">
      <c r="A115" s="220" t="inlineStr">
        <is>
          <t>Bezeichnung der Option:</t>
        </is>
      </c>
      <c r="B115" s="236" t="n"/>
      <c r="C115" s="219" t="inlineStr">
        <is>
          <t>Option 1 wirtschaftlich guenstiger; Option 4 bei Personalmangel alternativlos</t>
        </is>
      </c>
      <c r="D115" s="236" t="n"/>
      <c r="E115" s="236" t="n"/>
      <c r="F115" s="236" t="n"/>
      <c r="G115" s="237" t="n"/>
      <c r="H115" s="16" t="n"/>
      <c r="I115" s="16" t="n"/>
    </row>
    <row r="116" ht="20.1" customHeight="1" s="12" thickBot="1">
      <c r="A116" s="242" t="inlineStr">
        <is>
          <t>Option 1 (137.400 EUR) um 9.278 EUR guenstiger als Option 4 (146.678 EUR inkl. Risiko). Bei Personalengpass Vergabe Option 4, Zielkorridor &lt;= 31,10 EUR/h.</t>
        </is>
      </c>
      <c r="B116" s="236" t="n"/>
      <c r="C116" s="236" t="n"/>
      <c r="D116" s="236" t="n"/>
      <c r="E116" s="236" t="n"/>
      <c r="F116" s="236" t="n"/>
      <c r="G116" s="237" t="n"/>
      <c r="H116" s="16" t="n"/>
      <c r="I116" s="16" t="n"/>
    </row>
    <row r="117" hidden="1" ht="42" customHeight="1" s="12" thickBot="1">
      <c r="A117" s="268" t="inlineStr">
        <is>
          <t>Nach Abschluss der Maßnahme wird mittels eines SOLL/IST-Vergleichs geprüft, ob die Leistungserbringung bedarfsdeckend, zielführend und dabei wirtschaftlich war. Etwaige Nachsteuerungspotenziale werden geprüft.</t>
        </is>
      </c>
      <c r="B117" s="236" t="n"/>
      <c r="C117" s="236" t="n"/>
      <c r="D117" s="236" t="n"/>
      <c r="E117" s="236" t="n"/>
      <c r="F117" s="236" t="n"/>
      <c r="G117" s="237" t="n"/>
      <c r="H117" s="16" t="n"/>
      <c r="I117" s="137" t="n"/>
    </row>
    <row r="118">
      <c r="A118" s="15" t="n"/>
      <c r="B118" s="15" t="n"/>
      <c r="C118" s="15" t="n"/>
      <c r="D118" s="15" t="n"/>
      <c r="E118" s="15" t="n"/>
      <c r="F118" s="15" t="n"/>
      <c r="G118" s="15" t="n"/>
      <c r="H118" s="14" t="n"/>
      <c r="I118" s="14" t="n"/>
    </row>
    <row r="119">
      <c r="A119" s="15" t="n"/>
      <c r="B119" s="15" t="n"/>
      <c r="C119" s="15" t="n"/>
      <c r="D119" s="15" t="n"/>
      <c r="E119" s="15" t="n"/>
      <c r="F119" s="15" t="n"/>
      <c r="G119" s="15" t="n"/>
      <c r="H119" s="14" t="n"/>
      <c r="I119" s="14" t="n"/>
    </row>
    <row r="120">
      <c r="A120" s="15" t="n"/>
      <c r="B120" s="15" t="n"/>
      <c r="C120" s="15" t="n"/>
      <c r="D120" s="15" t="n"/>
      <c r="E120" s="15" t="n"/>
      <c r="F120" s="15" t="n"/>
      <c r="G120" s="15" t="n"/>
      <c r="H120" s="14" t="n"/>
      <c r="I120" s="14" t="n"/>
    </row>
    <row r="121">
      <c r="A121" s="15" t="n"/>
      <c r="B121" s="15" t="n"/>
      <c r="C121" s="15" t="n"/>
      <c r="D121" s="15" t="n"/>
      <c r="E121" s="15" t="n"/>
      <c r="F121" s="15" t="n"/>
      <c r="G121" s="15" t="n"/>
      <c r="H121" s="14" t="n"/>
      <c r="I121" s="14" t="n"/>
    </row>
    <row r="122">
      <c r="A122" s="15" t="n"/>
      <c r="B122" s="15" t="n"/>
      <c r="C122" s="15" t="n"/>
      <c r="D122" s="15" t="n"/>
      <c r="E122" s="15" t="n"/>
      <c r="F122" s="15" t="n"/>
      <c r="G122" s="15" t="n"/>
      <c r="H122" s="14" t="n"/>
      <c r="I122" s="14" t="n"/>
    </row>
    <row r="123">
      <c r="A123" s="15" t="n"/>
      <c r="B123" s="15" t="n"/>
      <c r="C123" s="15" t="n"/>
      <c r="D123" s="15" t="n"/>
      <c r="E123" s="15" t="n"/>
      <c r="F123" s="15" t="n"/>
      <c r="G123" s="15" t="n"/>
      <c r="H123" s="14" t="n"/>
      <c r="I123" s="14" t="n"/>
    </row>
    <row r="124">
      <c r="A124" s="15" t="n"/>
      <c r="B124" s="15" t="n"/>
      <c r="C124" s="15" t="n"/>
      <c r="D124" s="15" t="n"/>
      <c r="E124" s="15" t="n"/>
      <c r="F124" s="15" t="n"/>
      <c r="G124" s="15" t="n"/>
      <c r="H124" s="14" t="n"/>
      <c r="I124" s="14" t="n"/>
    </row>
    <row r="125">
      <c r="A125" s="15" t="n"/>
      <c r="B125" s="15" t="n"/>
      <c r="C125" s="15" t="n"/>
      <c r="D125" s="15" t="n"/>
      <c r="E125" s="15" t="n"/>
      <c r="F125" s="15" t="n"/>
      <c r="G125" s="15" t="n"/>
      <c r="H125" s="14" t="n"/>
      <c r="I125" s="14" t="n"/>
    </row>
    <row r="126">
      <c r="A126" s="15" t="n"/>
      <c r="B126" s="15" t="n"/>
      <c r="C126" s="15" t="n"/>
      <c r="D126" s="15" t="n"/>
      <c r="E126" s="15" t="n"/>
      <c r="F126" s="15" t="n"/>
      <c r="G126" s="15" t="n"/>
      <c r="H126" s="14" t="n"/>
      <c r="I126" s="14" t="n"/>
    </row>
    <row r="127">
      <c r="A127" s="15" t="n"/>
      <c r="B127" s="15" t="n"/>
      <c r="C127" s="15" t="n"/>
      <c r="D127" s="15" t="n"/>
      <c r="E127" s="15" t="n"/>
      <c r="F127" s="15" t="n"/>
      <c r="G127" s="15" t="n"/>
      <c r="H127" s="14" t="n"/>
      <c r="I127" s="14" t="n"/>
    </row>
    <row r="128">
      <c r="A128" s="15" t="n"/>
      <c r="B128" s="15" t="n"/>
      <c r="C128" s="15" t="n"/>
      <c r="D128" s="15" t="n"/>
      <c r="E128" s="15" t="n"/>
      <c r="F128" s="15" t="n"/>
      <c r="G128" s="15" t="n"/>
      <c r="H128" s="14" t="n"/>
      <c r="I128" s="14" t="n"/>
    </row>
    <row r="129">
      <c r="A129" s="15" t="n"/>
      <c r="B129" s="15" t="n"/>
      <c r="C129" s="15" t="n"/>
      <c r="D129" s="15" t="n"/>
      <c r="E129" s="15" t="n"/>
      <c r="F129" s="15" t="n"/>
      <c r="G129" s="15" t="n"/>
      <c r="H129" s="14" t="n"/>
      <c r="I129" s="14" t="n"/>
    </row>
    <row r="130">
      <c r="A130" s="15" t="n"/>
      <c r="B130" s="15" t="n"/>
      <c r="C130" s="15" t="n"/>
      <c r="D130" s="15" t="n"/>
      <c r="E130" s="15" t="n"/>
      <c r="F130" s="15" t="n"/>
      <c r="G130" s="15" t="n"/>
      <c r="H130" s="14" t="n"/>
      <c r="I130" s="14" t="n"/>
    </row>
    <row r="131">
      <c r="A131" s="15" t="n"/>
      <c r="B131" s="15" t="n"/>
      <c r="C131" s="15" t="n"/>
      <c r="D131" s="15" t="n"/>
      <c r="E131" s="15" t="n"/>
      <c r="F131" s="15" t="n"/>
      <c r="G131" s="15" t="n"/>
      <c r="H131" s="14" t="n"/>
      <c r="I131" s="14" t="n"/>
    </row>
    <row r="132">
      <c r="A132" s="15" t="n"/>
      <c r="B132" s="15" t="n"/>
      <c r="C132" s="15" t="n"/>
      <c r="D132" s="15" t="n"/>
      <c r="E132" s="15" t="n"/>
      <c r="F132" s="15" t="n"/>
      <c r="G132" s="15" t="n"/>
      <c r="H132" s="14" t="n"/>
      <c r="I132" s="14" t="n"/>
    </row>
    <row r="133">
      <c r="A133" s="15" t="n"/>
      <c r="B133" s="15" t="n"/>
      <c r="C133" s="15" t="n"/>
      <c r="D133" s="15" t="n"/>
      <c r="E133" s="15" t="n"/>
      <c r="F133" s="15" t="n"/>
      <c r="G133" s="15" t="n"/>
      <c r="H133" s="14" t="n"/>
      <c r="I133" s="14" t="n"/>
    </row>
    <row r="134">
      <c r="A134" s="15" t="n"/>
      <c r="B134" s="15" t="n"/>
      <c r="C134" s="15" t="n"/>
      <c r="D134" s="15" t="n"/>
      <c r="E134" s="15" t="n"/>
      <c r="F134" s="15" t="n"/>
      <c r="G134" s="15" t="n"/>
      <c r="H134" s="14" t="n"/>
      <c r="I134" s="14" t="n"/>
    </row>
    <row r="135">
      <c r="A135" s="15" t="n"/>
      <c r="B135" s="15" t="n"/>
      <c r="C135" s="15" t="n"/>
      <c r="D135" s="15" t="n"/>
      <c r="E135" s="15" t="n"/>
      <c r="F135" s="15" t="n"/>
      <c r="G135" s="15" t="n"/>
      <c r="H135" s="14" t="n"/>
      <c r="I135" s="14" t="n"/>
    </row>
    <row r="136">
      <c r="A136" s="15" t="n"/>
      <c r="B136" s="15" t="n"/>
      <c r="C136" s="15" t="n"/>
      <c r="D136" s="15" t="n"/>
      <c r="E136" s="15" t="n"/>
      <c r="F136" s="15" t="n"/>
      <c r="G136" s="15" t="n"/>
      <c r="H136" s="14" t="n"/>
      <c r="I136" s="14" t="n"/>
    </row>
    <row r="137">
      <c r="A137" s="15" t="n"/>
      <c r="B137" s="15" t="n"/>
      <c r="C137" s="15" t="n"/>
      <c r="D137" s="15" t="n"/>
      <c r="E137" s="15" t="n"/>
      <c r="F137" s="15" t="n"/>
      <c r="G137" s="15" t="n"/>
      <c r="H137" s="14" t="n"/>
      <c r="I137" s="14" t="n"/>
    </row>
    <row r="138">
      <c r="A138" s="15" t="n"/>
      <c r="B138" s="15" t="n"/>
      <c r="C138" s="15" t="n"/>
      <c r="D138" s="15" t="n"/>
      <c r="E138" s="15" t="n"/>
      <c r="F138" s="15" t="n"/>
      <c r="G138" s="15" t="n"/>
      <c r="H138" s="14" t="n"/>
      <c r="I138" s="14" t="n"/>
    </row>
    <row r="139">
      <c r="A139" s="15" t="n"/>
      <c r="B139" s="15" t="n"/>
      <c r="C139" s="15" t="n"/>
      <c r="D139" s="15" t="n"/>
      <c r="E139" s="15" t="n"/>
      <c r="F139" s="15" t="n"/>
      <c r="G139" s="15" t="n"/>
      <c r="H139" s="14" t="n"/>
      <c r="I139" s="14" t="n"/>
    </row>
    <row r="140">
      <c r="A140" s="15" t="n"/>
      <c r="B140" s="15" t="n"/>
      <c r="C140" s="15" t="n"/>
      <c r="D140" s="15" t="n"/>
      <c r="E140" s="15" t="n"/>
      <c r="F140" s="15" t="n"/>
      <c r="G140" s="15" t="n"/>
      <c r="H140" s="14" t="n"/>
      <c r="I140" s="14" t="n"/>
    </row>
    <row r="141">
      <c r="A141" s="15" t="n"/>
      <c r="B141" s="15" t="n"/>
      <c r="C141" s="15" t="n"/>
      <c r="D141" s="15" t="n"/>
      <c r="E141" s="15" t="n"/>
      <c r="F141" s="15" t="n"/>
      <c r="G141" s="15" t="n"/>
      <c r="H141" s="14" t="n"/>
      <c r="I141" s="14" t="n"/>
    </row>
    <row r="142">
      <c r="A142" s="15" t="n"/>
      <c r="B142" s="15" t="n"/>
      <c r="C142" s="15" t="n"/>
      <c r="D142" s="15" t="n"/>
      <c r="E142" s="15" t="n"/>
      <c r="F142" s="15" t="n"/>
      <c r="G142" s="15" t="n"/>
      <c r="H142" s="14" t="n"/>
      <c r="I142" s="14" t="n"/>
    </row>
    <row r="143">
      <c r="A143" s="15" t="n"/>
      <c r="B143" s="15" t="n"/>
      <c r="C143" s="15" t="n"/>
      <c r="D143" s="15" t="n"/>
      <c r="E143" s="15" t="n"/>
      <c r="F143" s="15" t="n"/>
      <c r="G143" s="15" t="n"/>
      <c r="H143" s="14" t="n"/>
      <c r="I143" s="14" t="n"/>
    </row>
    <row r="144">
      <c r="A144" s="15" t="n"/>
      <c r="B144" s="15" t="n"/>
      <c r="C144" s="15" t="n"/>
      <c r="D144" s="15" t="n"/>
      <c r="E144" s="15" t="n"/>
      <c r="F144" s="15" t="n"/>
      <c r="G144" s="15" t="n"/>
      <c r="H144" s="14" t="n"/>
      <c r="I144" s="14" t="n"/>
    </row>
    <row r="145">
      <c r="A145" s="15" t="n"/>
      <c r="B145" s="15" t="n"/>
      <c r="C145" s="15" t="n"/>
      <c r="D145" s="15" t="n"/>
      <c r="E145" s="15" t="n"/>
      <c r="F145" s="15" t="n"/>
      <c r="G145" s="15" t="n"/>
      <c r="H145" s="14" t="n"/>
      <c r="I145" s="14" t="n"/>
    </row>
    <row r="146">
      <c r="A146" s="15" t="n"/>
      <c r="B146" s="15" t="n"/>
      <c r="C146" s="15" t="n"/>
      <c r="D146" s="15" t="n"/>
      <c r="E146" s="15" t="n"/>
      <c r="F146" s="15" t="n"/>
      <c r="G146" s="15" t="n"/>
      <c r="H146" s="14" t="n"/>
      <c r="I146" s="14" t="n"/>
    </row>
    <row r="147">
      <c r="A147" s="15" t="n"/>
      <c r="B147" s="15" t="n"/>
      <c r="C147" s="15" t="n"/>
      <c r="D147" s="15" t="n"/>
      <c r="E147" s="15" t="n"/>
      <c r="F147" s="15" t="n"/>
      <c r="G147" s="15" t="n"/>
      <c r="H147" s="14" t="n"/>
      <c r="I147" s="14" t="n"/>
    </row>
    <row r="148">
      <c r="A148" s="15" t="n"/>
      <c r="B148" s="15" t="n"/>
      <c r="C148" s="15" t="n"/>
      <c r="D148" s="15" t="n"/>
      <c r="E148" s="15" t="n"/>
      <c r="F148" s="15" t="n"/>
      <c r="G148" s="15" t="n"/>
      <c r="H148" s="14" t="n"/>
      <c r="I148" s="14" t="n"/>
    </row>
    <row r="149" ht="18" customHeight="1" s="12">
      <c r="A149" s="15" t="n"/>
      <c r="B149" s="15" t="n"/>
      <c r="C149" s="15" t="n"/>
      <c r="D149" s="15" t="n"/>
      <c r="E149" s="15" t="n"/>
      <c r="F149" s="15" t="n"/>
      <c r="G149" s="15" t="n"/>
      <c r="H149" s="14" t="n"/>
      <c r="I149" s="14" t="n"/>
    </row>
    <row r="150">
      <c r="A150" s="15" t="n"/>
      <c r="B150" s="15" t="n"/>
      <c r="C150" s="15" t="n"/>
      <c r="D150" s="15" t="n"/>
      <c r="E150" s="15" t="n"/>
      <c r="F150" s="15" t="n"/>
      <c r="G150" s="15" t="n"/>
      <c r="H150" s="14" t="n"/>
      <c r="I150" s="14" t="n"/>
    </row>
    <row r="151">
      <c r="A151" s="160" t="n"/>
      <c r="B151" s="160" t="n"/>
      <c r="C151" s="160" t="n"/>
      <c r="D151" s="160" t="n"/>
      <c r="E151" s="160" t="n"/>
      <c r="F151" s="160" t="n"/>
      <c r="G151" s="160" t="n"/>
      <c r="H151" s="160" t="n"/>
      <c r="I151" s="160" t="n"/>
    </row>
    <row r="152">
      <c r="A152" s="160" t="n"/>
      <c r="B152" s="160" t="n"/>
      <c r="C152" s="160" t="n"/>
      <c r="D152" s="160" t="n"/>
      <c r="E152" s="160" t="n"/>
      <c r="F152" s="160" t="n"/>
      <c r="G152" s="160" t="n"/>
      <c r="H152" s="160" t="n"/>
      <c r="I152" s="160" t="n"/>
    </row>
    <row r="153">
      <c r="A153" s="160" t="n"/>
      <c r="B153" s="160" t="n"/>
      <c r="C153" s="160" t="n"/>
      <c r="D153" s="160" t="n"/>
      <c r="E153" s="160" t="n"/>
      <c r="F153" s="160" t="n"/>
      <c r="G153" s="160" t="n"/>
      <c r="H153" s="160" t="n"/>
      <c r="I153" s="160" t="n"/>
    </row>
    <row r="154">
      <c r="A154" s="160" t="n"/>
      <c r="B154" s="160" t="n"/>
      <c r="C154" s="160" t="n"/>
      <c r="D154" s="160" t="n"/>
      <c r="E154" s="160" t="n"/>
      <c r="F154" s="160" t="n"/>
      <c r="G154" s="160" t="n"/>
      <c r="H154" s="160" t="n"/>
      <c r="I154" s="160" t="n"/>
    </row>
    <row r="155">
      <c r="A155" s="160" t="n"/>
      <c r="B155" s="160" t="n"/>
      <c r="C155" s="160" t="n"/>
      <c r="D155" s="160" t="n"/>
      <c r="E155" s="160" t="n"/>
      <c r="F155" s="160" t="n"/>
      <c r="G155" s="160" t="n"/>
      <c r="H155" s="160" t="n"/>
      <c r="I155" s="160" t="n"/>
    </row>
    <row r="156">
      <c r="A156" s="160" t="n"/>
      <c r="B156" s="160" t="n"/>
      <c r="C156" s="160" t="n"/>
      <c r="D156" s="160" t="n"/>
      <c r="E156" s="160" t="n"/>
      <c r="F156" s="160" t="n"/>
      <c r="G156" s="160" t="n"/>
      <c r="H156" s="160" t="n"/>
      <c r="I156" s="160" t="n"/>
    </row>
    <row r="157">
      <c r="A157" s="160" t="n"/>
      <c r="B157" s="160" t="n"/>
      <c r="C157" s="160" t="n"/>
      <c r="D157" s="160" t="n"/>
      <c r="E157" s="160" t="n"/>
      <c r="F157" s="160" t="n"/>
      <c r="G157" s="160" t="n"/>
      <c r="H157" s="160" t="n"/>
      <c r="I157" s="160" t="n"/>
    </row>
    <row r="158">
      <c r="A158" s="160" t="n"/>
      <c r="B158" s="160" t="n"/>
      <c r="C158" s="160" t="n"/>
      <c r="D158" s="160" t="n"/>
      <c r="E158" s="160" t="n"/>
      <c r="F158" s="160" t="n"/>
      <c r="G158" s="160" t="n"/>
      <c r="H158" s="160" t="n"/>
      <c r="I158" s="160" t="n"/>
    </row>
    <row r="159">
      <c r="A159" s="160" t="n"/>
      <c r="B159" s="160" t="n"/>
      <c r="C159" s="160" t="n"/>
      <c r="D159" s="160" t="n"/>
      <c r="E159" s="160" t="n"/>
      <c r="F159" s="160" t="n"/>
      <c r="G159" s="160" t="n"/>
      <c r="H159" s="160" t="n"/>
      <c r="I159" s="160" t="n"/>
    </row>
    <row r="160">
      <c r="A160" s="160" t="n"/>
      <c r="B160" s="160" t="n"/>
      <c r="C160" s="160" t="n"/>
      <c r="D160" s="160" t="n"/>
      <c r="E160" s="160" t="n"/>
      <c r="F160" s="160" t="n"/>
      <c r="G160" s="160" t="n"/>
      <c r="H160" s="160" t="n"/>
      <c r="I160" s="160" t="n"/>
    </row>
    <row r="161">
      <c r="A161" s="160" t="n"/>
      <c r="B161" s="160" t="n"/>
      <c r="C161" s="160" t="n"/>
      <c r="D161" s="160" t="n"/>
      <c r="E161" s="160" t="n"/>
      <c r="F161" s="160" t="n"/>
      <c r="G161" s="160" t="n"/>
      <c r="H161" s="160" t="n"/>
      <c r="I161" s="160" t="n"/>
    </row>
    <row r="162">
      <c r="A162" s="160" t="n"/>
      <c r="B162" s="160" t="n"/>
      <c r="C162" s="160" t="n"/>
      <c r="D162" s="160" t="n"/>
      <c r="E162" s="160" t="n"/>
      <c r="F162" s="160" t="n"/>
      <c r="G162" s="160" t="n"/>
      <c r="H162" s="160" t="n"/>
      <c r="I162" s="160" t="n"/>
    </row>
    <row r="163">
      <c r="A163" s="160" t="n"/>
      <c r="B163" s="160" t="n"/>
      <c r="C163" s="160" t="n"/>
      <c r="D163" s="160" t="n"/>
      <c r="E163" s="160" t="n"/>
      <c r="F163" s="160" t="n"/>
      <c r="G163" s="160" t="n"/>
      <c r="H163" s="160" t="n"/>
      <c r="I163" s="160" t="n"/>
    </row>
    <row r="164">
      <c r="A164" s="160" t="n"/>
      <c r="B164" s="160" t="n"/>
      <c r="C164" s="160" t="n"/>
      <c r="D164" s="160" t="n"/>
      <c r="E164" s="160" t="n"/>
      <c r="F164" s="160" t="n"/>
      <c r="G164" s="160" t="n"/>
      <c r="H164" s="160" t="n"/>
      <c r="I164" s="160" t="n"/>
    </row>
    <row r="165">
      <c r="A165" s="160" t="n"/>
      <c r="B165" s="160" t="n"/>
      <c r="C165" s="160" t="n"/>
      <c r="D165" s="160" t="n"/>
      <c r="E165" s="160" t="n"/>
      <c r="F165" s="160" t="n"/>
      <c r="G165" s="160" t="n"/>
      <c r="H165" s="160" t="n"/>
      <c r="I165" s="160" t="n"/>
    </row>
    <row r="166">
      <c r="A166" s="160" t="n"/>
      <c r="B166" s="160" t="n"/>
      <c r="C166" s="160" t="n"/>
      <c r="D166" s="160" t="n"/>
      <c r="E166" s="160" t="n"/>
      <c r="F166" s="160" t="n"/>
      <c r="G166" s="160" t="n"/>
      <c r="H166" s="160" t="n"/>
      <c r="I166" s="160" t="n"/>
    </row>
    <row r="167">
      <c r="A167" s="160" t="n"/>
      <c r="B167" s="160" t="n"/>
      <c r="C167" s="160" t="n"/>
      <c r="D167" s="160" t="n"/>
      <c r="E167" s="160" t="n"/>
      <c r="F167" s="160" t="n"/>
      <c r="G167" s="160" t="n"/>
      <c r="H167" s="160" t="n"/>
      <c r="I167" s="160" t="n"/>
    </row>
    <row r="168">
      <c r="A168" s="160" t="n"/>
      <c r="B168" s="160" t="n"/>
      <c r="C168" s="160" t="n"/>
      <c r="D168" s="160" t="n"/>
      <c r="E168" s="160" t="n"/>
      <c r="F168" s="160" t="n"/>
      <c r="G168" s="160" t="n"/>
      <c r="H168" s="160" t="n"/>
      <c r="I168" s="160" t="n"/>
    </row>
    <row r="169">
      <c r="A169" s="160" t="n"/>
      <c r="B169" s="160" t="n"/>
      <c r="C169" s="160" t="n"/>
      <c r="D169" s="160" t="n"/>
      <c r="E169" s="160" t="n"/>
      <c r="F169" s="160" t="n"/>
      <c r="G169" s="160" t="n"/>
      <c r="H169" s="160" t="n"/>
      <c r="I169" s="160" t="n"/>
    </row>
  </sheetData>
  <mergeCells count="59">
    <mergeCell ref="A114:E114"/>
    <mergeCell ref="F4:G4"/>
    <mergeCell ref="A90:C90"/>
    <mergeCell ref="A116:G116"/>
    <mergeCell ref="B16:C16"/>
    <mergeCell ref="B84:B88"/>
    <mergeCell ref="A8:G8"/>
    <mergeCell ref="B65:B67"/>
    <mergeCell ref="D25:G25"/>
    <mergeCell ref="A22:G22"/>
    <mergeCell ref="A71:A75"/>
    <mergeCell ref="A69:A70"/>
    <mergeCell ref="A107:E107"/>
    <mergeCell ref="D24:G24"/>
    <mergeCell ref="B77:B80"/>
    <mergeCell ref="B18:C18"/>
    <mergeCell ref="A19:G19"/>
    <mergeCell ref="A117:G117"/>
    <mergeCell ref="A13:G13"/>
    <mergeCell ref="D23:G23"/>
    <mergeCell ref="A98:B102"/>
    <mergeCell ref="D26:G26"/>
    <mergeCell ref="B14:C14"/>
    <mergeCell ref="B17:C17"/>
    <mergeCell ref="A109:C109"/>
    <mergeCell ref="B45:B49"/>
    <mergeCell ref="A58:A62"/>
    <mergeCell ref="G5:G6"/>
    <mergeCell ref="A112:C112"/>
    <mergeCell ref="A36:G36"/>
    <mergeCell ref="A32:A33"/>
    <mergeCell ref="A1:G1"/>
    <mergeCell ref="B105:E105"/>
    <mergeCell ref="B71:B75"/>
    <mergeCell ref="C115:G115"/>
    <mergeCell ref="B52:B54"/>
    <mergeCell ref="A7:G7"/>
    <mergeCell ref="A45:A49"/>
    <mergeCell ref="A110:B111"/>
    <mergeCell ref="A108:G108"/>
    <mergeCell ref="A106:E106"/>
    <mergeCell ref="B58:B62"/>
    <mergeCell ref="A89:G89"/>
    <mergeCell ref="A4:E4"/>
    <mergeCell ref="A84:A88"/>
    <mergeCell ref="B15:C15"/>
    <mergeCell ref="B39:B41"/>
    <mergeCell ref="A103:C103"/>
    <mergeCell ref="A27:G27"/>
    <mergeCell ref="A3:G3"/>
    <mergeCell ref="A21:G21"/>
    <mergeCell ref="A28:A29"/>
    <mergeCell ref="A34:A35"/>
    <mergeCell ref="A115:B115"/>
    <mergeCell ref="A2:G2"/>
    <mergeCell ref="A104:G104"/>
    <mergeCell ref="A82:A83"/>
    <mergeCell ref="A113:G113"/>
    <mergeCell ref="A30:A31"/>
  </mergeCells>
  <conditionalFormatting sqref="G51 G64 G77">
    <cfRule type="cellIs" priority="140" operator="greaterThan" dxfId="51">
      <formula>0</formula>
    </cfRule>
  </conditionalFormatting>
  <conditionalFormatting sqref="C11:G11">
    <cfRule type="expression" priority="127" dxfId="0">
      <formula>$B$11&lt;&gt;""</formula>
    </cfRule>
  </conditionalFormatting>
  <conditionalFormatting sqref="B11:G11">
    <cfRule type="expression" priority="94" dxfId="0">
      <formula>$B$11&lt;&gt;""</formula>
    </cfRule>
  </conditionalFormatting>
  <conditionalFormatting sqref="B9:G9">
    <cfRule type="expression" priority="92" dxfId="0">
      <formula>$B$9&lt;&gt;""</formula>
    </cfRule>
  </conditionalFormatting>
  <conditionalFormatting sqref="E14:G14">
    <cfRule type="expression" priority="81" dxfId="0">
      <formula>$D$14&lt;&gt;""</formula>
    </cfRule>
  </conditionalFormatting>
  <conditionalFormatting sqref="E15:G15">
    <cfRule type="expression" priority="80" dxfId="0">
      <formula>$D$15&lt;&gt;""</formula>
    </cfRule>
  </conditionalFormatting>
  <conditionalFormatting sqref="E16:G16">
    <cfRule type="expression" priority="79" dxfId="0">
      <formula>$D$16&lt;&gt;""</formula>
    </cfRule>
  </conditionalFormatting>
  <conditionalFormatting sqref="E17:G17">
    <cfRule type="expression" priority="78" dxfId="0">
      <formula>$D$17&lt;&gt;""</formula>
    </cfRule>
  </conditionalFormatting>
  <conditionalFormatting sqref="E18:G18">
    <cfRule type="expression" priority="77" dxfId="0">
      <formula>$D$18&lt;&gt;""</formula>
    </cfRule>
  </conditionalFormatting>
  <conditionalFormatting sqref="D42:E42">
    <cfRule type="expression" priority="66" dxfId="0">
      <formula>$D$42&lt;&gt;""</formula>
    </cfRule>
  </conditionalFormatting>
  <conditionalFormatting sqref="A20:G20">
    <cfRule type="expression" priority="60" dxfId="0">
      <formula>$A$20&lt;&gt;""</formula>
    </cfRule>
  </conditionalFormatting>
  <conditionalFormatting sqref="D43:E43">
    <cfRule type="expression" priority="59" dxfId="0">
      <formula>$D$43&lt;&gt;""</formula>
    </cfRule>
  </conditionalFormatting>
  <conditionalFormatting sqref="E41">
    <cfRule type="expression" priority="58" dxfId="0">
      <formula>$D$41&lt;&gt;""</formula>
    </cfRule>
  </conditionalFormatting>
  <conditionalFormatting sqref="D49:E49">
    <cfRule type="expression" priority="57" dxfId="0">
      <formula>$D$49&lt;&gt;""</formula>
    </cfRule>
  </conditionalFormatting>
  <conditionalFormatting sqref="D45:E45">
    <cfRule type="expression" priority="56" dxfId="0">
      <formula>$D$45&lt;&gt;""</formula>
    </cfRule>
  </conditionalFormatting>
  <conditionalFormatting sqref="D46:E46">
    <cfRule type="expression" priority="52" dxfId="0">
      <formula>$D$46&lt;&gt;""</formula>
    </cfRule>
  </conditionalFormatting>
  <conditionalFormatting sqref="D47:E47">
    <cfRule type="expression" priority="51" dxfId="0">
      <formula>$D$47&lt;&gt;""</formula>
    </cfRule>
  </conditionalFormatting>
  <conditionalFormatting sqref="D48:E48">
    <cfRule type="expression" priority="50" dxfId="0">
      <formula>$D$48&lt;&gt;""</formula>
    </cfRule>
  </conditionalFormatting>
  <conditionalFormatting sqref="D55:F55">
    <cfRule type="expression" priority="49" dxfId="0">
      <formula>$D$55&lt;&gt;""</formula>
    </cfRule>
  </conditionalFormatting>
  <conditionalFormatting sqref="D56:F56">
    <cfRule type="expression" priority="48" dxfId="0">
      <formula>$D$56&lt;&gt;""</formula>
    </cfRule>
  </conditionalFormatting>
  <conditionalFormatting sqref="D62:F62">
    <cfRule type="expression" priority="46" dxfId="0">
      <formula>$D$62&lt;&gt;""</formula>
    </cfRule>
  </conditionalFormatting>
  <conditionalFormatting sqref="D58:F58">
    <cfRule type="expression" priority="45" dxfId="0">
      <formula>$D$58&lt;&gt;""</formula>
    </cfRule>
  </conditionalFormatting>
  <conditionalFormatting sqref="D59:F59">
    <cfRule type="expression" priority="44" dxfId="0">
      <formula>$D$59&lt;&gt;""</formula>
    </cfRule>
  </conditionalFormatting>
  <conditionalFormatting sqref="D60:F60">
    <cfRule type="expression" priority="43" dxfId="0">
      <formula>$D$60&lt;&gt;""</formula>
    </cfRule>
  </conditionalFormatting>
  <conditionalFormatting sqref="D61:F61">
    <cfRule type="expression" priority="42" dxfId="0">
      <formula>$D$61&lt;&gt;""</formula>
    </cfRule>
  </conditionalFormatting>
  <conditionalFormatting sqref="D68:F68">
    <cfRule type="expression" priority="40" dxfId="0">
      <formula>$D$68&lt;&gt;""</formula>
    </cfRule>
  </conditionalFormatting>
  <conditionalFormatting sqref="D69:F69">
    <cfRule type="expression" priority="39" dxfId="0">
      <formula>$D$69&lt;&gt;""</formula>
    </cfRule>
  </conditionalFormatting>
  <conditionalFormatting sqref="D75:F75">
    <cfRule type="expression" priority="37" dxfId="0">
      <formula>$D$75&lt;&gt;""</formula>
    </cfRule>
  </conditionalFormatting>
  <conditionalFormatting sqref="D71:F71">
    <cfRule type="expression" priority="36" dxfId="0">
      <formula>$D$71&lt;&gt;""</formula>
    </cfRule>
  </conditionalFormatting>
  <conditionalFormatting sqref="D72:F72">
    <cfRule type="expression" priority="35" dxfId="0">
      <formula>$D$72&lt;&gt;""</formula>
    </cfRule>
  </conditionalFormatting>
  <conditionalFormatting sqref="D73:F73">
    <cfRule type="expression" priority="34" dxfId="0">
      <formula>$D$73&lt;&gt;""</formula>
    </cfRule>
  </conditionalFormatting>
  <conditionalFormatting sqref="D74:F74">
    <cfRule type="expression" priority="33" dxfId="0">
      <formula>$D$74&lt;&gt;""</formula>
    </cfRule>
  </conditionalFormatting>
  <conditionalFormatting sqref="D81:F81">
    <cfRule type="expression" priority="32" dxfId="0">
      <formula>$D$81&lt;&gt;""</formula>
    </cfRule>
  </conditionalFormatting>
  <conditionalFormatting sqref="D82:F82">
    <cfRule type="expression" priority="31" dxfId="0">
      <formula>$D$82&lt;&gt;""</formula>
    </cfRule>
  </conditionalFormatting>
  <conditionalFormatting sqref="D88:F88">
    <cfRule type="expression" priority="29" dxfId="0">
      <formula>$D$88&lt;&gt;""</formula>
    </cfRule>
  </conditionalFormatting>
  <conditionalFormatting sqref="D84:F84">
    <cfRule type="expression" priority="28" dxfId="0">
      <formula>$D$84&lt;&gt;""</formula>
    </cfRule>
  </conditionalFormatting>
  <conditionalFormatting sqref="D85:F85">
    <cfRule type="expression" priority="27" dxfId="0">
      <formula>$D$85&lt;&gt;""</formula>
    </cfRule>
  </conditionalFormatting>
  <conditionalFormatting sqref="D86:F86">
    <cfRule type="expression" priority="26" dxfId="0">
      <formula>$D$86&lt;&gt;""</formula>
    </cfRule>
  </conditionalFormatting>
  <conditionalFormatting sqref="D87:F87">
    <cfRule type="expression" priority="25" dxfId="0">
      <formula>$D$87&lt;&gt;""</formula>
    </cfRule>
  </conditionalFormatting>
  <conditionalFormatting sqref="F42">
    <cfRule type="expression" priority="14" dxfId="12">
      <formula>$F$42&lt;&gt;""</formula>
    </cfRule>
  </conditionalFormatting>
  <conditionalFormatting sqref="E54">
    <cfRule type="expression" priority="13" dxfId="0">
      <formula>$D$41&lt;&gt;""</formula>
    </cfRule>
  </conditionalFormatting>
  <conditionalFormatting sqref="E67">
    <cfRule type="expression" priority="12" dxfId="0">
      <formula>$D$41&lt;&gt;""</formula>
    </cfRule>
  </conditionalFormatting>
  <conditionalFormatting sqref="E80">
    <cfRule type="expression" priority="10" dxfId="0">
      <formula>$D$41&lt;&gt;""</formula>
    </cfRule>
  </conditionalFormatting>
  <conditionalFormatting sqref="D28:G28">
    <cfRule type="expression" priority="9" dxfId="0">
      <formula>$C$28&lt;&gt;""</formula>
    </cfRule>
  </conditionalFormatting>
  <conditionalFormatting sqref="D30:G30">
    <cfRule type="expression" priority="8" dxfId="0">
      <formula>$C$30&lt;&gt;""</formula>
    </cfRule>
  </conditionalFormatting>
  <conditionalFormatting sqref="D32:G32">
    <cfRule type="expression" priority="7" dxfId="0">
      <formula>$C$32&lt;&gt;""</formula>
    </cfRule>
  </conditionalFormatting>
  <conditionalFormatting sqref="D34:G34">
    <cfRule type="expression" priority="6" dxfId="0">
      <formula>$C$34&lt;&gt;""</formula>
    </cfRule>
  </conditionalFormatting>
  <conditionalFormatting sqref="B5">
    <cfRule type="expression" priority="5" dxfId="0">
      <formula>$B$5&lt;&gt;""</formula>
    </cfRule>
  </conditionalFormatting>
  <conditionalFormatting sqref="B6">
    <cfRule type="expression" priority="4" dxfId="0">
      <formula>$B$5&lt;&gt;""</formula>
    </cfRule>
  </conditionalFormatting>
  <conditionalFormatting sqref="D6">
    <cfRule type="expression" priority="3" dxfId="0">
      <formula>$B$5&lt;&gt;""</formula>
    </cfRule>
  </conditionalFormatting>
  <conditionalFormatting sqref="F5">
    <cfRule type="expression" priority="2" dxfId="0">
      <formula>$E$5&lt;&gt;""</formula>
    </cfRule>
  </conditionalFormatting>
  <conditionalFormatting sqref="F6">
    <cfRule type="expression" priority="1" dxfId="0">
      <formula>$B$5&lt;&gt;""</formula>
    </cfRule>
  </conditionalFormatting>
  <dataValidations count="6">
    <dataValidation sqref="B11" showDropDown="0" showInputMessage="1" showErrorMessage="1" allowBlank="1" promptTitle="Hinweis" prompt="Laut §6 BHO sind nur die zur Bedarfsdeckung unabdingbar notwendigen Ausgaben zu berücksichtigen. _x000a__x000a_Bitte bedenken Sie vor diesem Hintergrund den notwendigen Zusammenhang der Ausgaben mit dem Bedarf bzw. der Zielsetzung Ihrer Maßnahme."/>
    <dataValidation sqref="B12" showDropDown="0" showInputMessage="1" showErrorMessage="1" allowBlank="1" type="whole">
      <formula1>1</formula1>
      <formula2>300</formula2>
    </dataValidation>
    <dataValidation sqref="E65:E67 E78:E80 F38 F51 F64:F66 F77:F79" showDropDown="0" showInputMessage="1" showErrorMessage="1" allowBlank="1" promptTitle="Hinweis" prompt="Bitte entsprechende Auswahl via Dropdown in Spalte C treffen."/>
    <dataValidation sqref="B6" showDropDown="0" showInputMessage="1" showErrorMessage="1" allowBlank="1" promptTitle="Hinweis" prompt="Das eingetragene Datum muss zeitlich vor dem &quot;Beginn der Maßnahme&quot; liegen. " type="date" operator="lessThan">
      <formula1>D6</formula1>
    </dataValidation>
    <dataValidation sqref="D6" showDropDown="0" showInputMessage="1" showErrorMessage="1" allowBlank="1" promptTitle="Hinweis" prompt="Das eingetragene Datum muss zeitlich nach dem &quot;Datum der Erstellung&quot; liegen. " type="date" operator="greaterThanOrEqual">
      <formula1>B6</formula1>
    </dataValidation>
    <dataValidation sqref="F6" showDropDown="0" showInputMessage="1" showErrorMessage="1" allowBlank="1" promptTitle="Hinweis" prompt="Das eingetragene Datum muss zeitlich auf oder nach den &quot;Beginn der Maßnahme&quot; fallen. " type="date" operator="greaterThanOrEqual">
      <formula1>D6</formula1>
    </dataValidation>
  </dataValidations>
  <pageMargins left="0.7" right="0.7" top="0.787401575" bottom="0.787401575" header="0.3" footer="0.3"/>
  <pageSetup orientation="portrait" paperSize="9" scale="79"/>
  <headerFooter>
    <oddHeader>&amp;C_x000a_</oddHeader>
    <oddFooter/>
    <evenHeader/>
    <evenFooter/>
    <firstHeader/>
    <firstFooter/>
  </headerFooter>
  <legacyDrawing xmlns:r="http://schemas.openxmlformats.org/officeDocument/2006/relationships" r:id="anysvml"/>
</worksheet>
</file>

<file path=xl/worksheets/sheet2.xml><?xml version="1.0" encoding="utf-8"?>
<worksheet xmlns="http://schemas.openxmlformats.org/spreadsheetml/2006/main">
  <sheetPr codeName="Tabelle3">
    <outlinePr summaryBelow="1" summaryRight="1"/>
    <pageSetUpPr/>
  </sheetPr>
  <dimension ref="A1:A1"/>
  <sheetViews>
    <sheetView workbookViewId="0">
      <selection activeCell="A1" sqref="A1"/>
    </sheetView>
  </sheetViews>
  <sheetFormatPr baseColWidth="10" defaultRowHeight="15"/>
  <sheetData/>
  <pageMargins left="0.7" right="0.7" top="0.787401575" bottom="0.787401575" header="0.3" footer="0.3"/>
</worksheet>
</file>

<file path=xl/worksheets/sheet3.xml><?xml version="1.0" encoding="utf-8"?>
<worksheet xmlns="http://schemas.openxmlformats.org/spreadsheetml/2006/main">
  <sheetPr codeName="Tabelle2">
    <outlinePr summaryBelow="1" summaryRight="1"/>
    <pageSetUpPr/>
  </sheetPr>
  <dimension ref="A2:G144"/>
  <sheetViews>
    <sheetView topLeftCell="A116" workbookViewId="0">
      <selection activeCell="A118" sqref="A118:B139"/>
    </sheetView>
  </sheetViews>
  <sheetFormatPr baseColWidth="10" defaultRowHeight="15"/>
  <cols>
    <col width="84.42578125" bestFit="1" customWidth="1" style="12" min="1" max="1"/>
    <col width="75.28515625" bestFit="1" customWidth="1" style="12" min="5" max="8"/>
    <col width="7.5703125" customWidth="1" style="12" min="9" max="9"/>
  </cols>
  <sheetData>
    <row r="1" hidden="1" s="12"/>
    <row r="2" hidden="1" s="12">
      <c r="A2" s="1" t="n"/>
      <c r="B2" s="2" t="n"/>
    </row>
    <row r="3" hidden="1" s="12">
      <c r="B3" s="2" t="n"/>
    </row>
    <row r="4" hidden="1" s="12">
      <c r="B4" s="2" t="n"/>
    </row>
    <row r="5" hidden="1" s="12">
      <c r="B5" s="2" t="n"/>
    </row>
    <row r="6" hidden="1" s="12">
      <c r="B6" s="2" t="n"/>
    </row>
    <row r="7">
      <c r="B7" s="2" t="n"/>
      <c r="E7" s="9" t="n"/>
      <c r="F7" s="9" t="n"/>
      <c r="G7" s="9" t="n"/>
    </row>
    <row r="8">
      <c r="A8" s="1" t="inlineStr">
        <is>
          <t>Rechtliche Vorgaben:</t>
        </is>
      </c>
      <c r="B8" s="7" t="n"/>
      <c r="C8" s="7" t="n"/>
      <c r="E8" s="9" t="n"/>
    </row>
    <row r="9">
      <c r="A9" t="inlineStr">
        <is>
          <t>Organisatorische Rahmenbedingungen:</t>
        </is>
      </c>
      <c r="B9" s="7" t="n"/>
      <c r="C9" s="7" t="n"/>
      <c r="E9" s="9" t="n"/>
    </row>
    <row r="10">
      <c r="A10" t="inlineStr">
        <is>
          <t>Zeitliche Rahmenbedingungen:</t>
        </is>
      </c>
      <c r="B10" s="8" t="n"/>
      <c r="C10" s="7" t="n"/>
      <c r="E10" s="9" t="n"/>
    </row>
    <row r="11">
      <c r="A11" t="inlineStr">
        <is>
          <t>Sonstige Rahmenbedingungen:</t>
        </is>
      </c>
      <c r="B11" s="8" t="n"/>
      <c r="C11" s="7" t="n"/>
      <c r="E11" s="9" t="n"/>
      <c r="F11" s="9" t="n"/>
    </row>
    <row r="12">
      <c r="A12" s="1" t="n"/>
      <c r="B12" s="8" t="n"/>
      <c r="C12" s="8" t="n"/>
      <c r="E12" s="9" t="n"/>
      <c r="F12" s="9" t="n"/>
      <c r="G12" s="9" t="n"/>
    </row>
    <row r="13">
      <c r="B13" s="269" t="n"/>
      <c r="E13" s="9" t="n"/>
      <c r="F13" s="9" t="n"/>
      <c r="G13" s="9" t="n"/>
    </row>
    <row r="14" hidden="1" s="12">
      <c r="B14" s="4" t="n"/>
      <c r="E14" s="9" t="n"/>
      <c r="F14" s="9" t="n"/>
      <c r="G14" s="9" t="n"/>
    </row>
    <row r="15">
      <c r="A15" t="inlineStr">
        <is>
          <t>Transport</t>
        </is>
      </c>
      <c r="B15" s="269" t="n"/>
      <c r="E15" s="9" t="n"/>
      <c r="F15" s="9" t="n"/>
      <c r="G15" s="9" t="n"/>
    </row>
    <row r="16">
      <c r="A16" s="6" t="inlineStr">
        <is>
          <t>Eigenes KFZ</t>
        </is>
      </c>
      <c r="B16" s="269" t="n"/>
      <c r="E16" s="9" t="n"/>
      <c r="F16" s="9" t="n"/>
      <c r="G16" s="9" t="n"/>
    </row>
    <row r="17">
      <c r="A17" t="inlineStr">
        <is>
          <t>Gemietetes KFZ</t>
        </is>
      </c>
      <c r="B17" s="269" t="n"/>
      <c r="E17" s="9" t="n"/>
      <c r="F17" s="9" t="n"/>
      <c r="G17" s="9" t="n"/>
    </row>
    <row r="18">
      <c r="A18" t="inlineStr">
        <is>
          <t>Bus</t>
        </is>
      </c>
      <c r="B18" s="4" t="n"/>
      <c r="E18" s="9" t="n"/>
      <c r="F18" s="9" t="n"/>
      <c r="G18" s="9" t="n"/>
    </row>
    <row r="19">
      <c r="A19" t="inlineStr">
        <is>
          <t>Bahn/Zug</t>
        </is>
      </c>
      <c r="B19" s="269" t="n"/>
      <c r="E19" s="9" t="n"/>
      <c r="F19" s="9" t="n"/>
      <c r="G19" s="9" t="n"/>
    </row>
    <row r="20">
      <c r="A20" t="inlineStr">
        <is>
          <t>Flugzeug</t>
        </is>
      </c>
      <c r="B20" s="270" t="n"/>
      <c r="E20" s="9" t="n"/>
      <c r="F20" s="9" t="n"/>
      <c r="G20" s="9" t="n"/>
    </row>
    <row r="21">
      <c r="B21" s="270" t="n"/>
      <c r="E21" s="9" t="n"/>
      <c r="F21" s="9" t="n"/>
      <c r="G21" s="9" t="n"/>
    </row>
    <row r="22">
      <c r="A22" t="inlineStr">
        <is>
          <t>ext. Unterkunft</t>
        </is>
      </c>
      <c r="E22" s="9" t="n"/>
      <c r="F22" s="9" t="n"/>
      <c r="G22" s="9" t="n"/>
    </row>
    <row r="23">
      <c r="A23" s="6" t="inlineStr">
        <is>
          <t>amtlich unentgeltliche Unterkunft</t>
        </is>
      </c>
      <c r="E23" s="9" t="n"/>
      <c r="F23" s="9" t="n"/>
      <c r="G23" s="9" t="n"/>
    </row>
    <row r="24">
      <c r="A24" t="inlineStr">
        <is>
          <t>amtlich entgeltliche Unterkunft</t>
        </is>
      </c>
      <c r="E24" s="9" t="n"/>
      <c r="F24" s="9" t="n"/>
      <c r="G24" s="9" t="n"/>
    </row>
    <row r="25">
      <c r="A25" t="inlineStr">
        <is>
          <t>Hotel-/Privatunterkunft</t>
        </is>
      </c>
      <c r="E25" s="9" t="n"/>
      <c r="F25" s="9" t="n"/>
      <c r="G25" s="9" t="n"/>
    </row>
    <row r="26">
      <c r="E26" s="9" t="n"/>
      <c r="F26" s="9" t="n"/>
      <c r="G26" s="9" t="n"/>
    </row>
    <row r="27">
      <c r="A27" t="inlineStr">
        <is>
          <t>Tagegeld</t>
        </is>
      </c>
      <c r="E27" s="9" t="n"/>
      <c r="F27" s="9" t="n"/>
      <c r="G27" s="9" t="n"/>
    </row>
    <row r="28">
      <c r="A28" t="inlineStr">
        <is>
          <t>Inland Ganztag</t>
        </is>
      </c>
    </row>
    <row r="29">
      <c r="A29" t="inlineStr">
        <is>
          <t>Inland Halbtag</t>
        </is>
      </c>
    </row>
    <row r="30">
      <c r="A30" t="inlineStr">
        <is>
          <t>Inland o. Frühstück</t>
        </is>
      </c>
    </row>
    <row r="31">
      <c r="A31" t="inlineStr">
        <is>
          <t>Inland o. Abendessen</t>
        </is>
      </c>
    </row>
    <row r="32">
      <c r="A32" t="inlineStr">
        <is>
          <t>Tagegeld Sonstige</t>
        </is>
      </c>
    </row>
    <row r="34">
      <c r="A34" t="inlineStr">
        <is>
          <t>Leistungserbringung durch die eigene Dienststelle</t>
        </is>
      </c>
      <c r="B34" t="inlineStr">
        <is>
          <t>Option 1</t>
        </is>
      </c>
    </row>
    <row r="35">
      <c r="A35" t="inlineStr">
        <is>
          <t>Leistungserbringung durch andere bundeswehrinterne Dienststellen</t>
        </is>
      </c>
      <c r="B35" t="inlineStr">
        <is>
          <t>Option 2</t>
        </is>
      </c>
    </row>
    <row r="36">
      <c r="A36" t="inlineStr">
        <is>
          <t>Leistungserbringung durch eine Inhousegesellschaft/eine Dienstelle eines anderen Ressorts</t>
        </is>
      </c>
      <c r="B36" t="inlineStr">
        <is>
          <t>Option 3</t>
        </is>
      </c>
    </row>
    <row r="37">
      <c r="A37" t="inlineStr">
        <is>
          <t>Leistungserbringung durch einen externen Dienstleister</t>
        </is>
      </c>
      <c r="B37" t="inlineStr">
        <is>
          <t>Option 4</t>
        </is>
      </c>
    </row>
    <row r="40">
      <c r="A40" s="10" t="inlineStr">
        <is>
          <t>Zellsprungfunktion</t>
        </is>
      </c>
    </row>
    <row r="41">
      <c r="A41" s="11" t="inlineStr">
        <is>
          <t>Ein</t>
        </is>
      </c>
    </row>
    <row r="44">
      <c r="A44" s="159" t="n"/>
    </row>
    <row r="45">
      <c r="A45" s="116" t="inlineStr">
        <is>
          <t>Bei Bedarf bitte auswählen</t>
        </is>
      </c>
      <c r="B45" t="n">
        <v>0</v>
      </c>
    </row>
    <row r="46">
      <c r="A46" s="161" t="inlineStr">
        <is>
          <t>BeamteA5E</t>
        </is>
      </c>
      <c r="B46" s="271" t="n">
        <v>49333.26588</v>
      </c>
    </row>
    <row r="47">
      <c r="A47" s="161" t="inlineStr">
        <is>
          <t>BeamtA6E</t>
        </is>
      </c>
      <c r="B47" s="271" t="n">
        <v>55086.56442448672</v>
      </c>
    </row>
    <row r="48">
      <c r="A48" s="161" t="inlineStr">
        <is>
          <t>BeamteA6M</t>
        </is>
      </c>
      <c r="B48" s="271" t="n">
        <v>48161.39755182452</v>
      </c>
    </row>
    <row r="49">
      <c r="A49" s="161" t="inlineStr">
        <is>
          <t>BeamteA6M/A7</t>
        </is>
      </c>
      <c r="B49" s="271" t="n">
        <v>51150.18785849352</v>
      </c>
    </row>
    <row r="50">
      <c r="A50" s="161" t="inlineStr">
        <is>
          <t>BeamteA7</t>
        </is>
      </c>
      <c r="B50" s="271" t="n">
        <v>52426.36785626155</v>
      </c>
    </row>
    <row r="51">
      <c r="A51" s="161" t="inlineStr">
        <is>
          <t>BeamteA6M-A8</t>
        </is>
      </c>
      <c r="B51" s="271" t="n">
        <v>59284.22775742935</v>
      </c>
    </row>
    <row r="52">
      <c r="A52" s="161" t="inlineStr">
        <is>
          <t>BeamteA7/A8</t>
        </is>
      </c>
      <c r="B52" s="271" t="n">
        <v>60252.39472845272</v>
      </c>
    </row>
    <row r="53">
      <c r="A53" s="161" t="inlineStr">
        <is>
          <t>BeamteA8</t>
        </is>
      </c>
      <c r="B53" s="271" t="n">
        <v>62256.25247516473</v>
      </c>
    </row>
    <row r="54">
      <c r="A54" s="161" t="inlineStr">
        <is>
          <t>BeamteA9M</t>
        </is>
      </c>
      <c r="B54" s="271" t="n">
        <v>68674.84224358862</v>
      </c>
    </row>
    <row r="55">
      <c r="A55" s="161" t="inlineStr">
        <is>
          <t>BeamteA9MZ</t>
        </is>
      </c>
      <c r="B55" s="271" t="n">
        <v>74418.29279395421</v>
      </c>
    </row>
    <row r="56">
      <c r="A56" s="161" t="inlineStr">
        <is>
          <t>BeamteA9G</t>
        </is>
      </c>
      <c r="B56" s="271" t="n">
        <v>57813.0172645079</v>
      </c>
    </row>
    <row r="57">
      <c r="A57" s="161" t="inlineStr">
        <is>
          <t>BeamteA9G/A10</t>
        </is>
      </c>
      <c r="B57" s="271" t="n">
        <v>61674.9544931125</v>
      </c>
    </row>
    <row r="58">
      <c r="A58" s="161" t="inlineStr">
        <is>
          <t>BeamteA9G-A11</t>
        </is>
      </c>
      <c r="B58" s="271" t="n">
        <v>71631.69195025736</v>
      </c>
    </row>
    <row r="59">
      <c r="A59" s="161" t="inlineStr">
        <is>
          <t>BeamteA10</t>
        </is>
      </c>
      <c r="B59" s="271" t="n">
        <v>63954.9730334784</v>
      </c>
    </row>
    <row r="60">
      <c r="A60" s="161" t="inlineStr">
        <is>
          <t>BeamteA11</t>
        </is>
      </c>
      <c r="B60" s="271" t="n">
        <v>79501.76220171893</v>
      </c>
    </row>
    <row r="61">
      <c r="A61" s="161" t="inlineStr">
        <is>
          <t>BeamteA12</t>
        </is>
      </c>
      <c r="B61" s="271" t="n">
        <v>90540.62551901797</v>
      </c>
    </row>
    <row r="62">
      <c r="A62" s="161" t="inlineStr">
        <is>
          <t>BeamteA13G</t>
        </is>
      </c>
      <c r="B62" s="271" t="n">
        <v>101701.6485637517</v>
      </c>
    </row>
    <row r="63">
      <c r="A63" s="161" t="inlineStr">
        <is>
          <t>BeamteA13GZ</t>
        </is>
      </c>
      <c r="B63" s="271" t="n">
        <v>108002.8539660179</v>
      </c>
    </row>
    <row r="64">
      <c r="A64" s="161" t="inlineStr">
        <is>
          <t>BeamteA13H</t>
        </is>
      </c>
      <c r="B64" s="271" t="n">
        <v>93641.72547584544</v>
      </c>
    </row>
    <row r="65">
      <c r="A65" s="161" t="inlineStr">
        <is>
          <t>BeamteA13H/A14</t>
        </is>
      </c>
      <c r="B65" s="271" t="n">
        <v>105720.6680313999</v>
      </c>
    </row>
    <row r="66">
      <c r="A66" s="161" t="inlineStr">
        <is>
          <t>BeamteA14</t>
        </is>
      </c>
      <c r="B66" s="271" t="n">
        <v>108810.1203683062</v>
      </c>
    </row>
    <row r="67">
      <c r="A67" s="161" t="inlineStr">
        <is>
          <t>BeamteA15</t>
        </is>
      </c>
      <c r="B67" s="271" t="n">
        <v>128358.478566065</v>
      </c>
    </row>
    <row r="68">
      <c r="A68" s="161" t="inlineStr">
        <is>
          <t>BeamteA15Z</t>
        </is>
      </c>
      <c r="B68" s="271" t="n">
        <v>136057.4688709091</v>
      </c>
    </row>
    <row r="69">
      <c r="A69" s="161" t="inlineStr">
        <is>
          <t>BeamteA16</t>
        </is>
      </c>
      <c r="B69" s="271" t="n">
        <v>145001.4747899035</v>
      </c>
    </row>
    <row r="70">
      <c r="A70" s="161" t="inlineStr">
        <is>
          <t>BeamteB2</t>
        </is>
      </c>
      <c r="B70" s="271" t="n">
        <v>152766.487699865</v>
      </c>
    </row>
    <row r="71">
      <c r="A71" s="161" t="inlineStr">
        <is>
          <t>BeamteB3</t>
        </is>
      </c>
      <c r="B71" s="271" t="n">
        <v>161195.5151340176</v>
      </c>
    </row>
    <row r="72">
      <c r="A72" s="161" t="inlineStr">
        <is>
          <t>BeamteB4</t>
        </is>
      </c>
      <c r="B72" s="271" t="n">
        <v>169775.6464771428</v>
      </c>
    </row>
    <row r="73">
      <c r="A73" s="161" t="inlineStr">
        <is>
          <t>BeamteB5</t>
        </is>
      </c>
      <c r="B73" s="271" t="n">
        <v>173207.54682</v>
      </c>
    </row>
    <row r="74">
      <c r="A74" s="161" t="inlineStr">
        <is>
          <t>BeamteB6</t>
        </is>
      </c>
      <c r="B74" s="271" t="n">
        <v>189121.9255443409</v>
      </c>
    </row>
    <row r="75">
      <c r="A75" s="161" t="inlineStr">
        <is>
          <t>BeamteB7</t>
        </is>
      </c>
      <c r="B75" s="271" t="n">
        <v>197654.9162457141</v>
      </c>
    </row>
    <row r="76">
      <c r="A76" s="161" t="inlineStr">
        <is>
          <t>BeamteB9</t>
        </is>
      </c>
      <c r="B76" s="271" t="n">
        <v>221179.709073488</v>
      </c>
    </row>
    <row r="77">
      <c r="A77" s="161" t="inlineStr">
        <is>
          <t>BeamteB11</t>
        </is>
      </c>
      <c r="B77" s="271" t="n">
        <v>265252.17144</v>
      </c>
    </row>
    <row r="78">
      <c r="A78" s="114" t="n"/>
      <c r="B78" s="115" t="n"/>
    </row>
    <row r="79">
      <c r="A79" s="116" t="inlineStr">
        <is>
          <t>Bei Bedarf bitte auswählen</t>
        </is>
      </c>
      <c r="B79" s="115" t="n"/>
    </row>
    <row r="80">
      <c r="A80" s="161" t="inlineStr">
        <is>
          <t>SoldatenA3</t>
        </is>
      </c>
      <c r="B80" s="271" t="n">
        <v>48517.76182464902</v>
      </c>
    </row>
    <row r="81">
      <c r="A81" s="161" t="inlineStr">
        <is>
          <t>SoldatenA3Z</t>
        </is>
      </c>
      <c r="B81" s="271" t="n">
        <v>48758.65451065223</v>
      </c>
    </row>
    <row r="82">
      <c r="A82" s="161" t="inlineStr">
        <is>
          <t>SoldatenA3-A5E</t>
        </is>
      </c>
      <c r="B82" s="271" t="n">
        <v>49967.61087342459</v>
      </c>
    </row>
    <row r="83">
      <c r="A83" s="161" t="inlineStr">
        <is>
          <t>SoldatenA4</t>
        </is>
      </c>
      <c r="B83" s="271" t="n">
        <v>49490.8865524732</v>
      </c>
    </row>
    <row r="84">
      <c r="A84" s="161" t="inlineStr">
        <is>
          <t>SoldatenA4Z</t>
        </is>
      </c>
      <c r="B84" s="271" t="n">
        <v>50196.93050734439</v>
      </c>
    </row>
    <row r="85">
      <c r="A85" s="161" t="inlineStr">
        <is>
          <t>SoldatenA5E</t>
        </is>
      </c>
      <c r="B85" s="271" t="n">
        <v>51281.25716857579</v>
      </c>
    </row>
    <row r="86">
      <c r="A86" s="161" t="inlineStr">
        <is>
          <t>SoldatenA5EZ</t>
        </is>
      </c>
      <c r="B86" s="271" t="n">
        <v>55746.89606883181</v>
      </c>
    </row>
    <row r="87">
      <c r="A87" s="161" t="inlineStr">
        <is>
          <t>SoldatenA5M</t>
        </is>
      </c>
      <c r="B87" s="271" t="n">
        <v>52490.14077642508</v>
      </c>
    </row>
    <row r="88">
      <c r="A88" s="161" t="inlineStr">
        <is>
          <t>SoldatenA6E</t>
        </is>
      </c>
      <c r="B88" s="271" t="n">
        <v>60266.08252433687</v>
      </c>
    </row>
    <row r="89">
      <c r="A89" s="161" t="inlineStr">
        <is>
          <t>SoldatenA6EZ</t>
        </is>
      </c>
      <c r="B89" s="271" t="n">
        <v>61246.51611913385</v>
      </c>
    </row>
    <row r="90">
      <c r="A90" s="161" t="inlineStr">
        <is>
          <t>SoldatenA6M</t>
        </is>
      </c>
      <c r="B90" s="271" t="n">
        <v>55164.32088692873</v>
      </c>
    </row>
    <row r="91">
      <c r="A91" s="161" t="inlineStr">
        <is>
          <t>SoldatenA5M-A7</t>
        </is>
      </c>
      <c r="B91" s="271" t="n">
        <v>58104.67617261423</v>
      </c>
    </row>
    <row r="92">
      <c r="A92" s="161" t="inlineStr">
        <is>
          <t>SoldatenA7</t>
        </is>
      </c>
      <c r="B92" s="271" t="n">
        <v>60675.61571790511</v>
      </c>
    </row>
    <row r="93">
      <c r="A93" s="161" t="inlineStr">
        <is>
          <t>SoldatenA7Z</t>
        </is>
      </c>
      <c r="B93" s="271" t="n">
        <v>60894.41214506447</v>
      </c>
    </row>
    <row r="94">
      <c r="A94" s="161" t="inlineStr">
        <is>
          <t>SoldatenA8Z</t>
        </is>
      </c>
      <c r="B94" s="271" t="n">
        <v>69504.22033367924</v>
      </c>
    </row>
    <row r="95">
      <c r="A95" s="161" t="inlineStr">
        <is>
          <t>SoldatenA7-A9MZ</t>
        </is>
      </c>
      <c r="B95" s="271" t="n">
        <v>68826.59747526683</v>
      </c>
    </row>
    <row r="96">
      <c r="A96" s="161" t="inlineStr">
        <is>
          <t>SoldatenA9M</t>
        </is>
      </c>
      <c r="B96" s="271" t="n">
        <v>79327.44860171042</v>
      </c>
    </row>
    <row r="97">
      <c r="A97" s="161" t="inlineStr">
        <is>
          <t>SoldatenA9MZ</t>
        </is>
      </c>
      <c r="B97" s="271" t="n">
        <v>86311.32655190973</v>
      </c>
    </row>
    <row r="98">
      <c r="A98" s="161" t="inlineStr">
        <is>
          <t>SoldatenA9G</t>
        </is>
      </c>
      <c r="B98" s="271" t="n">
        <v>64477.02736091278</v>
      </c>
    </row>
    <row r="99">
      <c r="A99" s="161" t="inlineStr">
        <is>
          <t>SoldatenA9G-A11</t>
        </is>
      </c>
      <c r="B99" s="271" t="n">
        <v>77566.96820249213</v>
      </c>
    </row>
    <row r="100">
      <c r="A100" s="161" t="inlineStr">
        <is>
          <t>SoldatenA10</t>
        </is>
      </c>
      <c r="B100" s="271" t="n">
        <v>73073.67434551414</v>
      </c>
    </row>
    <row r="101">
      <c r="A101" s="161" t="inlineStr">
        <is>
          <t>SoldatenA11</t>
        </is>
      </c>
      <c r="B101" s="271" t="n">
        <v>89688.67206952785</v>
      </c>
    </row>
    <row r="102">
      <c r="A102" s="161" t="inlineStr">
        <is>
          <t>SoldatenA12</t>
        </is>
      </c>
      <c r="B102" s="271" t="n">
        <v>97853.98312133919</v>
      </c>
    </row>
    <row r="103">
      <c r="A103" s="161" t="inlineStr">
        <is>
          <t>SoldatenA13G</t>
        </is>
      </c>
      <c r="B103" s="271" t="n">
        <v>115790.5868463795</v>
      </c>
    </row>
    <row r="104">
      <c r="A104" s="161" t="inlineStr">
        <is>
          <t>SoldatenA13GZ</t>
        </is>
      </c>
      <c r="B104" s="271" t="n">
        <v>120213.5071954511</v>
      </c>
    </row>
    <row r="105">
      <c r="A105" s="161" t="inlineStr">
        <is>
          <t>SoldatenA13H</t>
        </is>
      </c>
      <c r="B105" s="271" t="n">
        <v>104309.8096141952</v>
      </c>
    </row>
    <row r="106">
      <c r="A106" s="161" t="inlineStr">
        <is>
          <t>SoldatenA13H/A14</t>
        </is>
      </c>
      <c r="B106" s="271" t="n">
        <v>113255.0286191434</v>
      </c>
    </row>
    <row r="107">
      <c r="A107" s="161" t="inlineStr">
        <is>
          <t>SoldatenA14</t>
        </is>
      </c>
      <c r="B107" s="271" t="n">
        <v>117076.6205252864</v>
      </c>
    </row>
    <row r="108">
      <c r="A108" s="161" t="inlineStr">
        <is>
          <t>SoldatenA15</t>
        </is>
      </c>
      <c r="B108" s="271" t="n">
        <v>134704.0705919336</v>
      </c>
    </row>
    <row r="109">
      <c r="A109" s="161" t="inlineStr">
        <is>
          <t>SoldatenA16</t>
        </is>
      </c>
      <c r="B109" s="271" t="n">
        <v>152465.9345059684</v>
      </c>
    </row>
    <row r="110">
      <c r="A110" s="161" t="inlineStr">
        <is>
          <t>SoldatenB3</t>
        </is>
      </c>
      <c r="B110" s="271" t="n">
        <v>168603.0842532832</v>
      </c>
    </row>
    <row r="111">
      <c r="A111" s="161" t="inlineStr">
        <is>
          <t>SoldatenB6</t>
        </is>
      </c>
      <c r="B111" s="271" t="n">
        <v>197688.7351284898</v>
      </c>
    </row>
    <row r="112">
      <c r="A112" s="161" t="inlineStr">
        <is>
          <t>SoldatenB7</t>
        </is>
      </c>
      <c r="B112" s="271" t="n">
        <v>207851.2109582816</v>
      </c>
    </row>
    <row r="113">
      <c r="A113" s="161" t="inlineStr">
        <is>
          <t>SoldatenB9</t>
        </is>
      </c>
      <c r="B113" s="271" t="n">
        <v>228896.3778297142</v>
      </c>
    </row>
    <row r="114">
      <c r="A114" s="161" t="inlineStr">
        <is>
          <t>SoldatenB10</t>
        </is>
      </c>
      <c r="B114" s="271" t="n">
        <v>271894.6502921746</v>
      </c>
    </row>
    <row r="115">
      <c r="A115" s="161" t="inlineStr">
        <is>
          <t>SoldatenB10Z</t>
        </is>
      </c>
      <c r="B115" s="271" t="n">
        <v>276064.7528600001</v>
      </c>
    </row>
    <row r="116">
      <c r="A116" s="114" t="n"/>
      <c r="B116" s="115" t="n"/>
    </row>
    <row r="117">
      <c r="A117" s="116" t="inlineStr">
        <is>
          <t>Bei Bedarf bitte auswählen</t>
        </is>
      </c>
      <c r="B117" s="115" t="n"/>
    </row>
    <row r="118">
      <c r="A118" s="161" t="inlineStr">
        <is>
          <t>ArbeitnehmerE2UE</t>
        </is>
      </c>
      <c r="B118" s="271" t="n">
        <v>53267.79672632799</v>
      </c>
    </row>
    <row r="119">
      <c r="A119" s="161" t="inlineStr">
        <is>
          <t>ArbeitnehmerE2</t>
        </is>
      </c>
      <c r="B119" s="272" t="n">
        <v>53292.64574881052</v>
      </c>
    </row>
    <row r="120">
      <c r="A120" s="161" t="inlineStr">
        <is>
          <t>ArbeitnehmerE3</t>
        </is>
      </c>
      <c r="B120" s="272" t="n">
        <v>55706.27391407471</v>
      </c>
    </row>
    <row r="121">
      <c r="A121" s="161" t="inlineStr">
        <is>
          <t>ArbeitnehmerE4</t>
        </is>
      </c>
      <c r="B121" s="271" t="n">
        <v>57326.38604660904</v>
      </c>
    </row>
    <row r="122">
      <c r="A122" s="161" t="inlineStr">
        <is>
          <t>ArbeitnehmerE5</t>
        </is>
      </c>
      <c r="B122" s="271" t="n">
        <v>59520.23004720596</v>
      </c>
    </row>
    <row r="123">
      <c r="A123" s="161" t="inlineStr">
        <is>
          <t>ArbeitnehmerE6</t>
        </is>
      </c>
      <c r="B123" s="271" t="n">
        <v>62081.18671882254</v>
      </c>
    </row>
    <row r="124">
      <c r="A124" s="161" t="inlineStr">
        <is>
          <t>ArbeitnehmerE7</t>
        </is>
      </c>
      <c r="B124" s="271" t="n">
        <v>64797.97713327518</v>
      </c>
    </row>
    <row r="125">
      <c r="A125" s="161" t="inlineStr">
        <is>
          <t>ArbeitnehmerE8</t>
        </is>
      </c>
      <c r="B125" s="271" t="n">
        <v>67482.88574944579</v>
      </c>
    </row>
    <row r="126">
      <c r="A126" s="161" t="inlineStr">
        <is>
          <t>ArbeitnehmerE9A</t>
        </is>
      </c>
      <c r="B126" s="271" t="n">
        <v>74215.53102516994</v>
      </c>
    </row>
    <row r="127">
      <c r="A127" s="161" t="inlineStr">
        <is>
          <t>ArbeitnehmerE9B</t>
        </is>
      </c>
      <c r="B127" s="271" t="n">
        <v>80861.16376701531</v>
      </c>
    </row>
    <row r="128">
      <c r="A128" s="161" t="inlineStr">
        <is>
          <t>ArbeitnehmerE9C</t>
        </is>
      </c>
      <c r="B128" s="271" t="n">
        <v>84012.27315668712</v>
      </c>
    </row>
    <row r="129">
      <c r="A129" s="161" t="inlineStr">
        <is>
          <t>ArbeitnehmerE10</t>
        </is>
      </c>
      <c r="B129" s="271" t="n">
        <v>84272.22534026077</v>
      </c>
    </row>
    <row r="130">
      <c r="A130" s="161" t="inlineStr">
        <is>
          <t>ArbeitnehmerE11</t>
        </is>
      </c>
      <c r="B130" s="271" t="n">
        <v>93039.4308883381</v>
      </c>
    </row>
    <row r="131">
      <c r="A131" s="161" t="inlineStr">
        <is>
          <t>ArbeitnehmerE12</t>
        </is>
      </c>
      <c r="B131" s="271" t="n">
        <v>102991.3337650282</v>
      </c>
    </row>
    <row r="132">
      <c r="A132" s="161" t="inlineStr">
        <is>
          <t>ArbeitnehmerE13</t>
        </is>
      </c>
      <c r="B132" s="271" t="n">
        <v>90811.64582833221</v>
      </c>
    </row>
    <row r="133">
      <c r="A133" s="161" t="inlineStr">
        <is>
          <t>ArbeitnehmerE14</t>
        </is>
      </c>
      <c r="B133" s="271" t="n">
        <v>105632.4447616941</v>
      </c>
    </row>
    <row r="134">
      <c r="A134" s="161" t="inlineStr">
        <is>
          <t>ArbeitnehmerE15</t>
        </is>
      </c>
      <c r="B134" s="271" t="n">
        <v>117889.2027600416</v>
      </c>
    </row>
    <row r="135">
      <c r="A135" s="161" t="inlineStr">
        <is>
          <t>ArbeitnehmerE15UE</t>
        </is>
      </c>
      <c r="B135" s="271" t="n">
        <v>136274.6325190137</v>
      </c>
    </row>
    <row r="136">
      <c r="A136" s="161" t="inlineStr">
        <is>
          <t>ArbeitnehmerB1</t>
        </is>
      </c>
      <c r="B136" s="271" t="n">
        <v>127094.78400894</v>
      </c>
    </row>
    <row r="137">
      <c r="A137" s="161" t="inlineStr">
        <is>
          <t>ArbeitnehmerB2</t>
        </is>
      </c>
      <c r="B137" s="271" t="n">
        <v>137878.667429636</v>
      </c>
    </row>
    <row r="138">
      <c r="A138" s="161" t="inlineStr">
        <is>
          <t>ArbeitnehmerB6</t>
        </is>
      </c>
      <c r="B138" s="271" t="n">
        <v>167604.365049302</v>
      </c>
    </row>
    <row r="139">
      <c r="A139" s="161" t="inlineStr">
        <is>
          <t>ArbeitnehmerB6</t>
        </is>
      </c>
      <c r="B139" s="271" t="n">
        <v>158392.9985681549</v>
      </c>
    </row>
    <row r="140">
      <c r="A140" s="114" t="n"/>
      <c r="B140" s="115" t="n"/>
    </row>
    <row r="141" ht="19.5" customHeight="1" s="12">
      <c r="A141" s="116" t="inlineStr">
        <is>
          <t>Normkosten: 
Bei Bedarf bitte auswählen</t>
        </is>
      </c>
    </row>
    <row r="142">
      <c r="A142" s="116" t="inlineStr">
        <is>
          <t>Personalnormkosten Arbeitnehmer</t>
        </is>
      </c>
    </row>
    <row r="143">
      <c r="A143" s="116" t="inlineStr">
        <is>
          <t>Personalnormkosten Beamte</t>
        </is>
      </c>
    </row>
    <row r="144">
      <c r="A144" s="116" t="inlineStr">
        <is>
          <t>Personalnormkosten Soldaten</t>
        </is>
      </c>
    </row>
  </sheetData>
  <dataValidations count="1">
    <dataValidation sqref="A41" showDropDown="0" showInputMessage="1" showErrorMessage="1" allowBlank="1" type="list">
      <formula1>"Ein, Aus"</formula1>
    </dataValidation>
  </dataValidations>
  <pageMargins left="0.7" right="0.7" top="0.787401575" bottom="0.787401575" header="0.3" footer="0.3"/>
  <pageSetup orientation="portrait" paperSize="9"/>
</worksheet>
</file>

<file path=xl/worksheets/sheet4.xml><?xml version="1.0" encoding="utf-8"?>
<worksheet xmlns="http://schemas.openxmlformats.org/spreadsheetml/2006/main">
  <sheetPr>
    <outlinePr summaryBelow="1" summaryRight="1"/>
    <pageSetUpPr/>
  </sheetPr>
  <dimension ref="A1:E7"/>
  <sheetViews>
    <sheetView workbookViewId="0">
      <selection activeCell="A1" sqref="A1"/>
    </sheetView>
  </sheetViews>
  <sheetFormatPr baseColWidth="8" defaultRowHeight="15"/>
  <cols>
    <col width="5" customWidth="1" style="12" min="1" max="1"/>
    <col width="38" customWidth="1" style="12" min="2" max="2"/>
    <col width="16" customWidth="1" style="12" min="3" max="3"/>
    <col width="55" customWidth="1" style="12" min="4" max="4"/>
    <col width="30" customWidth="1" style="12" min="5" max="5"/>
  </cols>
  <sheetData>
    <row r="1" ht="22" customHeight="1" s="12">
      <c r="A1" s="273" t="inlineStr">
        <is>
          <t>Anlage: Marktrecherche (Abrufdatum: 15.04.2026)</t>
        </is>
      </c>
    </row>
    <row r="3" ht="25" customHeight="1" s="12">
      <c r="A3" s="274" t="inlineStr">
        <is>
          <t>Nr.</t>
        </is>
      </c>
      <c r="B3" s="274" t="inlineStr">
        <is>
          <t>Produkt / Beschreibung</t>
        </is>
      </c>
      <c r="C3" s="274" t="inlineStr">
        <is>
          <t>Preis (brutto)</t>
        </is>
      </c>
      <c r="D3" s="274" t="inlineStr">
        <is>
          <t>Quelle (URL)</t>
        </is>
      </c>
      <c r="E3" s="274" t="inlineStr">
        <is>
          <t>Bemerkung</t>
        </is>
      </c>
    </row>
    <row r="4" ht="55" customHeight="1" s="12">
      <c r="A4" s="275" t="inlineStr">
        <is>
          <t>1</t>
        </is>
      </c>
      <c r="B4" s="275" t="inlineStr">
        <is>
          <t>Tariflohne Sicherheitsmitarbeiter 2026</t>
        </is>
      </c>
      <c r="C4" s="275" t="inlineStr">
        <is>
          <t>Kundensatz 32-35 EUR/h</t>
        </is>
      </c>
      <c r="D4" s="275" t="inlineStr">
        <is>
          <t>https://coredinate.de/ressourcen/sicherheitsmitarbeiter/tarifloehne-sicherheitsmitarbeiter</t>
        </is>
      </c>
      <c r="E4" s="275" t="inlineStr">
        <is>
          <t>Marktrecherche, 15.04.2026</t>
        </is>
      </c>
    </row>
    <row r="5" ht="55" customHeight="1" s="12">
      <c r="A5" s="275" t="inlineStr">
        <is>
          <t>2</t>
        </is>
      </c>
      <c r="B5" s="275" t="inlineStr">
        <is>
          <t>Sicherheit Nord GmbH - BW-Liegenschaften</t>
        </is>
      </c>
      <c r="C5" s="275" t="inlineStr">
        <is>
          <t>auf Anfrage</t>
        </is>
      </c>
      <c r="D5" s="275" t="inlineStr">
        <is>
          <t>https://www.sicherheit-nord.de/leistungen/personelle-sicherheit/bundeswehrliegenschaften/</t>
        </is>
      </c>
      <c r="E5" s="275" t="inlineStr">
        <is>
          <t>Anbieterrecherche, 15.04.2026</t>
        </is>
      </c>
    </row>
    <row r="7">
      <c r="A7" s="276" t="inlineStr">
        <is>
          <t>Hinweis: Screenshots der oben genannten Webseiten als Anlage beifügen.</t>
        </is>
      </c>
    </row>
  </sheetData>
  <mergeCells count="2">
    <mergeCell ref="A1:E1"/>
    <mergeCell ref="A7:E7"/>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KompZWUBw</dc:creator>
  <dcterms:created xmlns:dcterms="http://purl.org/dc/terms/" xmlns:xsi="http://www.w3.org/2001/XMLSchema-instance" xsi:type="dcterms:W3CDTF">2022-12-14T08:03:05Z</dcterms:created>
  <dcterms:modified xmlns:dcterms="http://purl.org/dc/terms/" xmlns:xsi="http://www.w3.org/2001/XMLSchema-instance" xsi:type="dcterms:W3CDTF">2026-04-15T10:31:36Z</dcterms:modified>
  <cp:lastModifiedBy>KompZWUBw</cp:lastModifiedBy>
  <cp:lastPrinted>2024-12-09T09:10:00Z</cp:lastPrinted>
</cp:coreProperties>
</file>